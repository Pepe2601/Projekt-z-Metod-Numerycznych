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ilka/Desktop/"/>
    </mc:Choice>
  </mc:AlternateContent>
  <xr:revisionPtr revIDLastSave="0" documentId="8_{9F2C5C09-279C-8E4D-BCBB-5A9B3499CA41}" xr6:coauthVersionLast="47" xr6:coauthVersionMax="47" xr10:uidLastSave="{00000000-0000-0000-0000-000000000000}"/>
  <bookViews>
    <workbookView xWindow="0" yWindow="500" windowWidth="28800" windowHeight="15800" activeTab="3" xr2:uid="{00000000-000D-0000-FFFF-FFFF00000000}"/>
  </bookViews>
  <sheets>
    <sheet name="Arkusz1" sheetId="2" r:id="rId1"/>
    <sheet name="Arkusz2" sheetId="3" r:id="rId2"/>
    <sheet name="Arkusz3" sheetId="4" r:id="rId3"/>
    <sheet name="Characteristics" sheetId="1" r:id="rId4"/>
  </sheets>
  <definedNames>
    <definedName name="_xlnm._FilterDatabase" localSheetId="3" hidden="1">Characteristics!$O$24:$P$183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1" i="1" l="1"/>
  <c r="Y16" i="1"/>
  <c r="Y15" i="1"/>
  <c r="Y14" i="1"/>
  <c r="Y13" i="1"/>
  <c r="X16" i="1"/>
  <c r="X15" i="1"/>
  <c r="X14" i="1"/>
  <c r="X13" i="1"/>
  <c r="W16" i="1"/>
  <c r="W15" i="1"/>
  <c r="W17" i="1" s="1"/>
  <c r="W14" i="1"/>
  <c r="W13" i="1"/>
  <c r="Z17" i="1"/>
  <c r="Y38" i="1"/>
  <c r="Y37" i="1"/>
  <c r="N21" i="1"/>
  <c r="P4" i="1"/>
  <c r="O3" i="1"/>
  <c r="M12" i="1"/>
  <c r="M11" i="1"/>
  <c r="M10" i="1"/>
  <c r="M9" i="1"/>
  <c r="M17" i="1"/>
  <c r="N6" i="1"/>
  <c r="N5" i="1"/>
  <c r="O2" i="1"/>
  <c r="P18" i="1" s="1"/>
  <c r="Y17" i="1" l="1"/>
  <c r="X17" i="1"/>
  <c r="M18" i="1"/>
  <c r="O21" i="1"/>
  <c r="S21" i="1"/>
  <c r="Q7" i="1"/>
</calcChain>
</file>

<file path=xl/sharedStrings.xml><?xml version="1.0" encoding="utf-8"?>
<sst xmlns="http://schemas.openxmlformats.org/spreadsheetml/2006/main" count="586" uniqueCount="370">
  <si>
    <t>mężczyzna</t>
  </si>
  <si>
    <t>niebieski</t>
  </si>
  <si>
    <t>szatyn(ka)</t>
  </si>
  <si>
    <t>mężczyzna</t>
  </si>
  <si>
    <t>zielony</t>
  </si>
  <si>
    <t>szatyn(ka)</t>
  </si>
  <si>
    <t>kobieta</t>
  </si>
  <si>
    <t>czarny</t>
  </si>
  <si>
    <t>szatyn(ka)</t>
  </si>
  <si>
    <t>mężczyzna</t>
  </si>
  <si>
    <t>zielony</t>
  </si>
  <si>
    <t>brunet(ka)</t>
  </si>
  <si>
    <t>mężczyzna</t>
  </si>
  <si>
    <t>niebieski</t>
  </si>
  <si>
    <t>szatyn(ka)</t>
  </si>
  <si>
    <t>mężczyzna</t>
  </si>
  <si>
    <t>niebieski</t>
  </si>
  <si>
    <t>szatyn(ka)</t>
  </si>
  <si>
    <t>mężczyzna</t>
  </si>
  <si>
    <t>czarny</t>
  </si>
  <si>
    <t>szatyn(ka)</t>
  </si>
  <si>
    <t>kobieta</t>
  </si>
  <si>
    <t>czarny</t>
  </si>
  <si>
    <t>szatyn(ka)</t>
  </si>
  <si>
    <t>kobieta</t>
  </si>
  <si>
    <t>czarny</t>
  </si>
  <si>
    <t>blondyn(ka)</t>
  </si>
  <si>
    <t>mężczyzna</t>
  </si>
  <si>
    <t>czarny</t>
  </si>
  <si>
    <t>brunet(ka)</t>
  </si>
  <si>
    <t>mężczyzna</t>
  </si>
  <si>
    <t>niebieski</t>
  </si>
  <si>
    <t>rud(a)(y)</t>
  </si>
  <si>
    <t>mężczyzna</t>
  </si>
  <si>
    <t>niebieski</t>
  </si>
  <si>
    <t>szatyn(ka)</t>
  </si>
  <si>
    <t>kobieta</t>
  </si>
  <si>
    <t>niebieski</t>
  </si>
  <si>
    <t>szatyn(ka)</t>
  </si>
  <si>
    <t>kobieta</t>
  </si>
  <si>
    <t>zielony</t>
  </si>
  <si>
    <t>szatyn(ka)</t>
  </si>
  <si>
    <t>mężczyzna</t>
  </si>
  <si>
    <t>niebieski</t>
  </si>
  <si>
    <t>rud(a)(y)</t>
  </si>
  <si>
    <t>mężczyzna</t>
  </si>
  <si>
    <t>niebieski</t>
  </si>
  <si>
    <t>szatyn(ka)</t>
  </si>
  <si>
    <t>mężczyzna</t>
  </si>
  <si>
    <t>zielony</t>
  </si>
  <si>
    <t>brunet(ka)</t>
  </si>
  <si>
    <t>kobieta</t>
  </si>
  <si>
    <t>czarny</t>
  </si>
  <si>
    <t>brunet(ka)</t>
  </si>
  <si>
    <t>kobieta</t>
  </si>
  <si>
    <t>czarny</t>
  </si>
  <si>
    <t>blondyn(ka)</t>
  </si>
  <si>
    <t>kobieta</t>
  </si>
  <si>
    <t>niebieski</t>
  </si>
  <si>
    <t>szatyn(ka)</t>
  </si>
  <si>
    <t>mężczyzna</t>
  </si>
  <si>
    <t>zielony</t>
  </si>
  <si>
    <t>brunet(ka)</t>
  </si>
  <si>
    <t>kobieta</t>
  </si>
  <si>
    <t>czarny</t>
  </si>
  <si>
    <t>brunet(ka)</t>
  </si>
  <si>
    <t>kobieta</t>
  </si>
  <si>
    <t>niebieski</t>
  </si>
  <si>
    <t>rud(a)(y)</t>
  </si>
  <si>
    <t>kobieta</t>
  </si>
  <si>
    <t>zielony</t>
  </si>
  <si>
    <t>szatyn(ka)</t>
  </si>
  <si>
    <t>mężczyzna</t>
  </si>
  <si>
    <t>niebieski</t>
  </si>
  <si>
    <t>szatyn(ka)</t>
  </si>
  <si>
    <t>mężczyzna</t>
  </si>
  <si>
    <t>niebieski</t>
  </si>
  <si>
    <t>brunet(ka)</t>
  </si>
  <si>
    <t>mężczyzna</t>
  </si>
  <si>
    <t>niebieski</t>
  </si>
  <si>
    <t>szatyn(ka)</t>
  </si>
  <si>
    <t>kobieta</t>
  </si>
  <si>
    <t>zielony</t>
  </si>
  <si>
    <t>brunet(ka)</t>
  </si>
  <si>
    <t>kobieta</t>
  </si>
  <si>
    <t>zielony</t>
  </si>
  <si>
    <t>szatyn(ka)</t>
  </si>
  <si>
    <t>mężczyzna</t>
  </si>
  <si>
    <t>zielony</t>
  </si>
  <si>
    <t>rud(a)(y)</t>
  </si>
  <si>
    <t>mężczyzna</t>
  </si>
  <si>
    <t>zielony</t>
  </si>
  <si>
    <t>szatyn(ka)</t>
  </si>
  <si>
    <t>mężczyzna</t>
  </si>
  <si>
    <t>niebieski</t>
  </si>
  <si>
    <t>rud(a)(y)</t>
  </si>
  <si>
    <t>kobieta</t>
  </si>
  <si>
    <t>czarny</t>
  </si>
  <si>
    <t>rud(a)(y)</t>
  </si>
  <si>
    <t>mężczyzna</t>
  </si>
  <si>
    <t>niebieski</t>
  </si>
  <si>
    <t>szatyn(ka)</t>
  </si>
  <si>
    <t>mężczyzna</t>
  </si>
  <si>
    <t>czarny</t>
  </si>
  <si>
    <t>rud(a)(y)</t>
  </si>
  <si>
    <t>mężczyzna</t>
  </si>
  <si>
    <t>zielony</t>
  </si>
  <si>
    <t>szatyn(ka)</t>
  </si>
  <si>
    <t>mężczyzna</t>
  </si>
  <si>
    <t>zielony</t>
  </si>
  <si>
    <t>brunet(ka)</t>
  </si>
  <si>
    <t>mężczyzna</t>
  </si>
  <si>
    <t>zielony</t>
  </si>
  <si>
    <t>brunet(ka)</t>
  </si>
  <si>
    <t>kobieta</t>
  </si>
  <si>
    <t>zielony</t>
  </si>
  <si>
    <t>rud(a)(y)</t>
  </si>
  <si>
    <t>mężczyzna</t>
  </si>
  <si>
    <t>czarny</t>
  </si>
  <si>
    <t>brunet(ka)</t>
  </si>
  <si>
    <t>kobieta</t>
  </si>
  <si>
    <t>zielony</t>
  </si>
  <si>
    <t>szatyn(ka)</t>
  </si>
  <si>
    <t>kobieta</t>
  </si>
  <si>
    <t>czarny</t>
  </si>
  <si>
    <t>szatyn(ka)</t>
  </si>
  <si>
    <t>kobieta</t>
  </si>
  <si>
    <t>niebieski</t>
  </si>
  <si>
    <t>brunet(ka)</t>
  </si>
  <si>
    <t>mężczyzna</t>
  </si>
  <si>
    <t>niebieski</t>
  </si>
  <si>
    <t>szatyn(ka)</t>
  </si>
  <si>
    <t>mężczyzna</t>
  </si>
  <si>
    <t>niebieski</t>
  </si>
  <si>
    <t>szatyn(ka)</t>
  </si>
  <si>
    <t>kobieta</t>
  </si>
  <si>
    <t>niebieski</t>
  </si>
  <si>
    <t>rud(a)(y)</t>
  </si>
  <si>
    <t>kobieta</t>
  </si>
  <si>
    <t>niebieski</t>
  </si>
  <si>
    <t>szatyn(ka)</t>
  </si>
  <si>
    <t>kobieta</t>
  </si>
  <si>
    <t>zielony</t>
  </si>
  <si>
    <t>szatyn(ka)</t>
  </si>
  <si>
    <t>mężczyzna</t>
  </si>
  <si>
    <t>czarny</t>
  </si>
  <si>
    <t>brunet(ka)</t>
  </si>
  <si>
    <t>kobieta</t>
  </si>
  <si>
    <t>niebieski</t>
  </si>
  <si>
    <t>brunet(ka)</t>
  </si>
  <si>
    <t>kobieta</t>
  </si>
  <si>
    <t>czarny</t>
  </si>
  <si>
    <t>szatyn(ka)</t>
  </si>
  <si>
    <t>kobieta</t>
  </si>
  <si>
    <t>zielony</t>
  </si>
  <si>
    <t>rud(a)(y)</t>
  </si>
  <si>
    <t>kobieta</t>
  </si>
  <si>
    <t>niebieski</t>
  </si>
  <si>
    <t>rud(a)(y)</t>
  </si>
  <si>
    <t>kobieta</t>
  </si>
  <si>
    <t>niebieski</t>
  </si>
  <si>
    <t>szatyn(ka)</t>
  </si>
  <si>
    <t>kobieta</t>
  </si>
  <si>
    <t>czarny</t>
  </si>
  <si>
    <t>szatyn(ka)</t>
  </si>
  <si>
    <t>kobieta</t>
  </si>
  <si>
    <t>niebieski</t>
  </si>
  <si>
    <t>szatyn(ka)</t>
  </si>
  <si>
    <t>kobieta</t>
  </si>
  <si>
    <t>czarny</t>
  </si>
  <si>
    <t>blondyn(ka)</t>
  </si>
  <si>
    <t>mężczyzna</t>
  </si>
  <si>
    <t>czarny</t>
  </si>
  <si>
    <t>szatyn(ka)</t>
  </si>
  <si>
    <t>mężczyzna</t>
  </si>
  <si>
    <t>niebieski</t>
  </si>
  <si>
    <t>rud(a)(y)</t>
  </si>
  <si>
    <t>mężczyzna</t>
  </si>
  <si>
    <t>zielony</t>
  </si>
  <si>
    <t>rud(a)(y)</t>
  </si>
  <si>
    <t>mężczyzna</t>
  </si>
  <si>
    <t>niebieski</t>
  </si>
  <si>
    <t>szatyn(ka)</t>
  </si>
  <si>
    <t>mężczyzna</t>
  </si>
  <si>
    <t>niebieski</t>
  </si>
  <si>
    <t>szatyn(ka)</t>
  </si>
  <si>
    <t>mężczyzna</t>
  </si>
  <si>
    <t>czarny</t>
  </si>
  <si>
    <t>brunet(ka)</t>
  </si>
  <si>
    <t>mężczyzna</t>
  </si>
  <si>
    <t>niebieski</t>
  </si>
  <si>
    <t>rud(a)(y)</t>
  </si>
  <si>
    <t>mężczyzna</t>
  </si>
  <si>
    <t>niebieski</t>
  </si>
  <si>
    <t>brunet(ka)</t>
  </si>
  <si>
    <t>mężczyzna</t>
  </si>
  <si>
    <t>czarny</t>
  </si>
  <si>
    <t>brunet(ka)</t>
  </si>
  <si>
    <t>kobieta</t>
  </si>
  <si>
    <t>czarny</t>
  </si>
  <si>
    <t>szatyn(ka)</t>
  </si>
  <si>
    <t>mężczyzna</t>
  </si>
  <si>
    <t>niebieski</t>
  </si>
  <si>
    <t>brunet(ka)</t>
  </si>
  <si>
    <t>kobieta</t>
  </si>
  <si>
    <t>czarny</t>
  </si>
  <si>
    <t>brunet(ka)</t>
  </si>
  <si>
    <t>mężczyzna</t>
  </si>
  <si>
    <t>niebieski</t>
  </si>
  <si>
    <t>rud(a)(y)</t>
  </si>
  <si>
    <t>mężczyzna</t>
  </si>
  <si>
    <t>czarny</t>
  </si>
  <si>
    <t>brunet(ka)</t>
  </si>
  <si>
    <t>kobieta</t>
  </si>
  <si>
    <t>czarny</t>
  </si>
  <si>
    <t>szatyn(ka)</t>
  </si>
  <si>
    <t>kobieta</t>
  </si>
  <si>
    <t>czarny</t>
  </si>
  <si>
    <t>rud(a)(y)</t>
  </si>
  <si>
    <t>mężczyzna</t>
  </si>
  <si>
    <t>zielony</t>
  </si>
  <si>
    <t>rud(a)(y)</t>
  </si>
  <si>
    <t>mężczyzna</t>
  </si>
  <si>
    <t>czarny</t>
  </si>
  <si>
    <t>rud(a)(y)</t>
  </si>
  <si>
    <t>kobieta</t>
  </si>
  <si>
    <t>czarny</t>
  </si>
  <si>
    <t>brunet(ka)</t>
  </si>
  <si>
    <t>mężczyzna</t>
  </si>
  <si>
    <t>czarny</t>
  </si>
  <si>
    <t>blondyn(ka)</t>
  </si>
  <si>
    <t>kobieta</t>
  </si>
  <si>
    <t>czarny</t>
  </si>
  <si>
    <t>szatyn(ka)</t>
  </si>
  <si>
    <t>kobieta</t>
  </si>
  <si>
    <t>zielony</t>
  </si>
  <si>
    <t>szatyn(ka)</t>
  </si>
  <si>
    <t>kobieta</t>
  </si>
  <si>
    <t>czarny</t>
  </si>
  <si>
    <t>szatyn(ka)</t>
  </si>
  <si>
    <t>mężczyzna</t>
  </si>
  <si>
    <t>niebieski</t>
  </si>
  <si>
    <t>brunet(ka)</t>
  </si>
  <si>
    <t>kobieta</t>
  </si>
  <si>
    <t>niebieski</t>
  </si>
  <si>
    <t>rud(a)(y)</t>
  </si>
  <si>
    <t>mężczyzna</t>
  </si>
  <si>
    <t>czarny</t>
  </si>
  <si>
    <t>brunet(ka)</t>
  </si>
  <si>
    <t>kobieta</t>
  </si>
  <si>
    <t>niebieski</t>
  </si>
  <si>
    <t>szatyn(ka)</t>
  </si>
  <si>
    <t>mężczyzna</t>
  </si>
  <si>
    <t>niebieski</t>
  </si>
  <si>
    <t>szatyn(ka)</t>
  </si>
  <si>
    <t>mężczyzna</t>
  </si>
  <si>
    <t>niebieski</t>
  </si>
  <si>
    <t>rud(a)(y)</t>
  </si>
  <si>
    <t>mężczyzna</t>
  </si>
  <si>
    <t>czarny</t>
  </si>
  <si>
    <t>szatyn(ka)</t>
  </si>
  <si>
    <t>kobieta</t>
  </si>
  <si>
    <t>czarny</t>
  </si>
  <si>
    <t>szatyn(ka)</t>
  </si>
  <si>
    <t>kobieta</t>
  </si>
  <si>
    <t>niebieski</t>
  </si>
  <si>
    <t>brunet(ka)</t>
  </si>
  <si>
    <t>kobieta</t>
  </si>
  <si>
    <t>niebieski</t>
  </si>
  <si>
    <t>brunet(ka)</t>
  </si>
  <si>
    <t>mężczyzna</t>
  </si>
  <si>
    <t>zielony</t>
  </si>
  <si>
    <t>rud(a)(y)</t>
  </si>
  <si>
    <t>kobieta</t>
  </si>
  <si>
    <t>czarny</t>
  </si>
  <si>
    <t>szatyn(ka)</t>
  </si>
  <si>
    <t>kobieta</t>
  </si>
  <si>
    <t>czarny</t>
  </si>
  <si>
    <t>brunet(ka)</t>
  </si>
  <si>
    <t>mężczyzna</t>
  </si>
  <si>
    <t>zielony</t>
  </si>
  <si>
    <t>rud(a)(y)</t>
  </si>
  <si>
    <t>kobieta</t>
  </si>
  <si>
    <t>niebieski</t>
  </si>
  <si>
    <t>szatyn(ka)</t>
  </si>
  <si>
    <t>mężczyzna</t>
  </si>
  <si>
    <t>niebieski</t>
  </si>
  <si>
    <t>szatyn(ka)</t>
  </si>
  <si>
    <t>kobieta</t>
  </si>
  <si>
    <t>niebieski</t>
  </si>
  <si>
    <t>szatyn(ka)</t>
  </si>
  <si>
    <t>mężczyzna</t>
  </si>
  <si>
    <t>czarny</t>
  </si>
  <si>
    <t>brunet(ka)</t>
  </si>
  <si>
    <t>kobieta</t>
  </si>
  <si>
    <t>czarny</t>
  </si>
  <si>
    <t>blondyn(ka)</t>
  </si>
  <si>
    <t>kobieta</t>
  </si>
  <si>
    <t>czarny</t>
  </si>
  <si>
    <t>szatyn(ka)</t>
  </si>
  <si>
    <t>płeć</t>
  </si>
  <si>
    <t>kolor oczu</t>
  </si>
  <si>
    <t>kolor włosów</t>
  </si>
  <si>
    <t>waga</t>
  </si>
  <si>
    <t>wiek</t>
  </si>
  <si>
    <t>W1</t>
  </si>
  <si>
    <t>W2</t>
  </si>
  <si>
    <t>Test 1</t>
  </si>
  <si>
    <t>Test 2</t>
  </si>
  <si>
    <t>Test 3</t>
  </si>
  <si>
    <t>Test średnia</t>
  </si>
  <si>
    <t>wzrost</t>
  </si>
  <si>
    <t>Analiza struktury zmiennej wiek</t>
  </si>
  <si>
    <t>Średnia</t>
  </si>
  <si>
    <t>Wariancja</t>
  </si>
  <si>
    <t>Odchylenie standardowe</t>
  </si>
  <si>
    <t>Kurtoza</t>
  </si>
  <si>
    <t>Skośność</t>
  </si>
  <si>
    <t>Klasyczny współczynnik zmienności</t>
  </si>
  <si>
    <t>Vs=</t>
  </si>
  <si>
    <t>Kolumna1</t>
  </si>
  <si>
    <t>Błąd standardowy</t>
  </si>
  <si>
    <t>Mediana</t>
  </si>
  <si>
    <t>Tryb</t>
  </si>
  <si>
    <t>Wariancja próbki</t>
  </si>
  <si>
    <t>Zakres</t>
  </si>
  <si>
    <t>Minimum</t>
  </si>
  <si>
    <t>Maksimum</t>
  </si>
  <si>
    <t>Suma</t>
  </si>
  <si>
    <t>Licznik</t>
  </si>
  <si>
    <t>Kwantyl rozkładu normalnego</t>
  </si>
  <si>
    <t>&lt;</t>
  </si>
  <si>
    <t>I kwartyl</t>
  </si>
  <si>
    <t>II kwartyl (mediana)</t>
  </si>
  <si>
    <t>III kwartyl</t>
  </si>
  <si>
    <t>IV kwartyl</t>
  </si>
  <si>
    <t>Kobiety</t>
  </si>
  <si>
    <t>Mężczyźni</t>
  </si>
  <si>
    <t>Etykiety wierszy</t>
  </si>
  <si>
    <t>Suma końcowa</t>
  </si>
  <si>
    <t>Etykiety kolumn</t>
  </si>
  <si>
    <t>Liczba z kolor oczu</t>
  </si>
  <si>
    <t>Przedział ufności dla średniej</t>
  </si>
  <si>
    <t>Przedział ufności dla odchylenia standardowego</t>
  </si>
  <si>
    <t>Analiza wariancji: jednoczynnikowa</t>
  </si>
  <si>
    <t>PODSUMOWANIE</t>
  </si>
  <si>
    <t>Grupy</t>
  </si>
  <si>
    <t>Kolumna 1</t>
  </si>
  <si>
    <t>Kolumna 2</t>
  </si>
  <si>
    <t>ANALIZA WARIANCJI</t>
  </si>
  <si>
    <t>Źródło wariancji</t>
  </si>
  <si>
    <t>SS</t>
  </si>
  <si>
    <t>df</t>
  </si>
  <si>
    <t>MS</t>
  </si>
  <si>
    <t>F</t>
  </si>
  <si>
    <t>Wartość-p</t>
  </si>
  <si>
    <t>Test F</t>
  </si>
  <si>
    <t>Pomiędzy grupami</t>
  </si>
  <si>
    <t>W obrębie grup</t>
  </si>
  <si>
    <t>Razem</t>
  </si>
  <si>
    <t>Test F: z dwiema próbami dla wariancji</t>
  </si>
  <si>
    <t>Test T:</t>
  </si>
  <si>
    <t>Tablica częstości</t>
  </si>
  <si>
    <t>suma</t>
  </si>
  <si>
    <t>statystyka chi^2=</t>
  </si>
  <si>
    <t>Statystyka Chi2 z (4-1)*(3-1)=6 stopniami swobody</t>
  </si>
  <si>
    <t>=</t>
  </si>
  <si>
    <t>Ponieważ nasza wartość statystyki jest większa od wartości tablicowej, odrzucamy hipotezę zerową.</t>
  </si>
  <si>
    <t>H0: zmienne są niezależne</t>
  </si>
  <si>
    <t xml:space="preserve">Ha: Zmienne są zależne.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</si>
</sst>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Border="1"/>
    <xf numFmtId="0" fontId="0" fillId="0" borderId="0" xfId="0" applyFill="1"/>
    <xf numFmtId="0" fontId="2" fillId="0" borderId="0" xfId="0" applyFont="1" applyFill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127000</xdr:colOff>
      <xdr:row>19</xdr:row>
      <xdr:rowOff>38100</xdr:rowOff>
    </xdr:from>
    <xdr:ext cx="505856" cy="459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915479F8-C1F1-3B4F-AAE0-958B1366A44D}"/>
                </a:ext>
              </a:extLst>
            </xdr:cNvPr>
            <xdr:cNvSpPr txBox="1"/>
          </xdr:nvSpPr>
          <xdr:spPr>
            <a:xfrm>
              <a:off x="10058400" y="3175000"/>
              <a:ext cx="505856" cy="4594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𝒖</m:t>
                        </m:r>
                      </m:e>
                      <m:sub>
                        <m:r>
                          <a:rPr lang="pl-PL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𝒂</m:t>
                        </m:r>
                      </m:sub>
                    </m:sSub>
                  </m:oMath>
                </m:oMathPara>
              </a14:m>
              <a:endParaRPr lang="pl-PL" sz="1600" b="1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915479F8-C1F1-3B4F-AAE0-958B1366A44D}"/>
                </a:ext>
              </a:extLst>
            </xdr:cNvPr>
            <xdr:cNvSpPr txBox="1"/>
          </xdr:nvSpPr>
          <xdr:spPr>
            <a:xfrm>
              <a:off x="10058400" y="3175000"/>
              <a:ext cx="505856" cy="4594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pl-PL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𝒖_𝒂</a:t>
              </a:r>
              <a:endParaRPr lang="pl-PL" sz="1600" b="1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127000</xdr:colOff>
      <xdr:row>17</xdr:row>
      <xdr:rowOff>12700</xdr:rowOff>
    </xdr:from>
    <xdr:ext cx="57150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7623BD75-C4DA-BA43-A783-4A17198DE162}"/>
                </a:ext>
              </a:extLst>
            </xdr:cNvPr>
            <xdr:cNvSpPr txBox="1"/>
          </xdr:nvSpPr>
          <xdr:spPr>
            <a:xfrm>
              <a:off x="10756900" y="2819400"/>
              <a:ext cx="5715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4" name="pole tekstowe 3">
              <a:extLst>
                <a:ext uri="{FF2B5EF4-FFF2-40B4-BE49-F238E27FC236}">
                  <a16:creationId xmlns:a16="http://schemas.microsoft.com/office/drawing/2014/main" id="{7623BD75-C4DA-BA43-A783-4A17198DE162}"/>
                </a:ext>
              </a:extLst>
            </xdr:cNvPr>
            <xdr:cNvSpPr txBox="1"/>
          </xdr:nvSpPr>
          <xdr:spPr>
            <a:xfrm>
              <a:off x="10756900" y="2819400"/>
              <a:ext cx="57150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l-PL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16</xdr:col>
      <xdr:colOff>114300</xdr:colOff>
      <xdr:row>20</xdr:row>
      <xdr:rowOff>0</xdr:rowOff>
    </xdr:from>
    <xdr:ext cx="38100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C73E6534-909E-5A4B-9719-89168CAAAF00}"/>
                </a:ext>
              </a:extLst>
            </xdr:cNvPr>
            <xdr:cNvSpPr txBox="1"/>
          </xdr:nvSpPr>
          <xdr:spPr>
            <a:xfrm>
              <a:off x="12788900" y="3302000"/>
              <a:ext cx="38100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pl-PL" sz="1200"/>
            </a:p>
          </xdr:txBody>
        </xdr:sp>
      </mc:Choice>
      <mc:Fallback xmlns="">
        <xdr:sp macro="" textlink="">
          <xdr:nvSpPr>
            <xdr:cNvPr id="5" name="pole tekstowe 4">
              <a:extLst>
                <a:ext uri="{FF2B5EF4-FFF2-40B4-BE49-F238E27FC236}">
                  <a16:creationId xmlns:a16="http://schemas.microsoft.com/office/drawing/2014/main" id="{C73E6534-909E-5A4B-9719-89168CAAAF00}"/>
                </a:ext>
              </a:extLst>
            </xdr:cNvPr>
            <xdr:cNvSpPr txBox="1"/>
          </xdr:nvSpPr>
          <xdr:spPr>
            <a:xfrm>
              <a:off x="12788900" y="3302000"/>
              <a:ext cx="38100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l-PL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pl-PL" sz="1200"/>
            </a:p>
          </xdr:txBody>
        </xdr:sp>
      </mc:Fallback>
    </mc:AlternateContent>
    <xdr:clientData/>
  </xdr:oneCellAnchor>
  <xdr:oneCellAnchor>
    <xdr:from>
      <xdr:col>15</xdr:col>
      <xdr:colOff>0</xdr:colOff>
      <xdr:row>15</xdr:row>
      <xdr:rowOff>0</xdr:rowOff>
    </xdr:from>
    <xdr:ext cx="505856" cy="4594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51F4A61E-3477-754F-A4BC-2640D8B5D027}"/>
                </a:ext>
              </a:extLst>
            </xdr:cNvPr>
            <xdr:cNvSpPr txBox="1"/>
          </xdr:nvSpPr>
          <xdr:spPr>
            <a:xfrm>
              <a:off x="12001500" y="2476500"/>
              <a:ext cx="505856" cy="4594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l-PL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𝒖</m:t>
                        </m:r>
                      </m:e>
                      <m:sub>
                        <m:r>
                          <a:rPr lang="pl-PL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𝒂</m:t>
                        </m:r>
                      </m:sub>
                    </m:sSub>
                  </m:oMath>
                </m:oMathPara>
              </a14:m>
              <a:endParaRPr lang="pl-PL" sz="1600" b="1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51F4A61E-3477-754F-A4BC-2640D8B5D027}"/>
                </a:ext>
              </a:extLst>
            </xdr:cNvPr>
            <xdr:cNvSpPr txBox="1"/>
          </xdr:nvSpPr>
          <xdr:spPr>
            <a:xfrm>
              <a:off x="12001500" y="2476500"/>
              <a:ext cx="505856" cy="4594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pl-PL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𝒖_𝒂</a:t>
              </a:r>
              <a:endParaRPr lang="pl-PL" sz="1600" b="1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593.534827314812" createdVersion="7" refreshedVersion="7" minRefreshableVersion="3" recordCount="159" xr:uid="{3CDF3704-1379-EE4B-A8DE-EAC0DCC06BAC}">
  <cacheSource type="worksheet">
    <worksheetSource ref="B1:C160" sheet="Characteristics"/>
  </cacheSource>
  <cacheFields count="2">
    <cacheField name="kolor oczu" numFmtId="0">
      <sharedItems count="3">
        <s v="niebieski"/>
        <s v="zielony"/>
        <s v="czarny"/>
      </sharedItems>
    </cacheField>
    <cacheField name="kolor włosów" numFmtId="0">
      <sharedItems count="4">
        <s v="szatyn(ka)"/>
        <s v="brunet(ka)"/>
        <s v="blondyn(ka)"/>
        <s v="rud(a)(y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x v="0"/>
  </r>
  <r>
    <x v="1"/>
    <x v="0"/>
  </r>
  <r>
    <x v="2"/>
    <x v="0"/>
  </r>
  <r>
    <x v="1"/>
    <x v="1"/>
  </r>
  <r>
    <x v="0"/>
    <x v="0"/>
  </r>
  <r>
    <x v="0"/>
    <x v="0"/>
  </r>
  <r>
    <x v="2"/>
    <x v="0"/>
  </r>
  <r>
    <x v="2"/>
    <x v="0"/>
  </r>
  <r>
    <x v="2"/>
    <x v="2"/>
  </r>
  <r>
    <x v="2"/>
    <x v="1"/>
  </r>
  <r>
    <x v="0"/>
    <x v="3"/>
  </r>
  <r>
    <x v="0"/>
    <x v="0"/>
  </r>
  <r>
    <x v="0"/>
    <x v="0"/>
  </r>
  <r>
    <x v="1"/>
    <x v="0"/>
  </r>
  <r>
    <x v="0"/>
    <x v="3"/>
  </r>
  <r>
    <x v="0"/>
    <x v="0"/>
  </r>
  <r>
    <x v="1"/>
    <x v="1"/>
  </r>
  <r>
    <x v="2"/>
    <x v="1"/>
  </r>
  <r>
    <x v="2"/>
    <x v="2"/>
  </r>
  <r>
    <x v="0"/>
    <x v="0"/>
  </r>
  <r>
    <x v="1"/>
    <x v="1"/>
  </r>
  <r>
    <x v="2"/>
    <x v="1"/>
  </r>
  <r>
    <x v="0"/>
    <x v="3"/>
  </r>
  <r>
    <x v="1"/>
    <x v="0"/>
  </r>
  <r>
    <x v="0"/>
    <x v="0"/>
  </r>
  <r>
    <x v="0"/>
    <x v="1"/>
  </r>
  <r>
    <x v="0"/>
    <x v="0"/>
  </r>
  <r>
    <x v="1"/>
    <x v="1"/>
  </r>
  <r>
    <x v="1"/>
    <x v="0"/>
  </r>
  <r>
    <x v="1"/>
    <x v="3"/>
  </r>
  <r>
    <x v="1"/>
    <x v="0"/>
  </r>
  <r>
    <x v="0"/>
    <x v="3"/>
  </r>
  <r>
    <x v="2"/>
    <x v="3"/>
  </r>
  <r>
    <x v="0"/>
    <x v="0"/>
  </r>
  <r>
    <x v="2"/>
    <x v="3"/>
  </r>
  <r>
    <x v="1"/>
    <x v="0"/>
  </r>
  <r>
    <x v="1"/>
    <x v="1"/>
  </r>
  <r>
    <x v="1"/>
    <x v="1"/>
  </r>
  <r>
    <x v="1"/>
    <x v="3"/>
  </r>
  <r>
    <x v="2"/>
    <x v="1"/>
  </r>
  <r>
    <x v="1"/>
    <x v="0"/>
  </r>
  <r>
    <x v="2"/>
    <x v="0"/>
  </r>
  <r>
    <x v="0"/>
    <x v="1"/>
  </r>
  <r>
    <x v="0"/>
    <x v="0"/>
  </r>
  <r>
    <x v="0"/>
    <x v="0"/>
  </r>
  <r>
    <x v="0"/>
    <x v="3"/>
  </r>
  <r>
    <x v="0"/>
    <x v="0"/>
  </r>
  <r>
    <x v="1"/>
    <x v="0"/>
  </r>
  <r>
    <x v="2"/>
    <x v="1"/>
  </r>
  <r>
    <x v="0"/>
    <x v="1"/>
  </r>
  <r>
    <x v="2"/>
    <x v="0"/>
  </r>
  <r>
    <x v="1"/>
    <x v="3"/>
  </r>
  <r>
    <x v="0"/>
    <x v="3"/>
  </r>
  <r>
    <x v="0"/>
    <x v="0"/>
  </r>
  <r>
    <x v="2"/>
    <x v="0"/>
  </r>
  <r>
    <x v="0"/>
    <x v="0"/>
  </r>
  <r>
    <x v="2"/>
    <x v="2"/>
  </r>
  <r>
    <x v="2"/>
    <x v="0"/>
  </r>
  <r>
    <x v="0"/>
    <x v="3"/>
  </r>
  <r>
    <x v="1"/>
    <x v="3"/>
  </r>
  <r>
    <x v="0"/>
    <x v="0"/>
  </r>
  <r>
    <x v="0"/>
    <x v="0"/>
  </r>
  <r>
    <x v="2"/>
    <x v="1"/>
  </r>
  <r>
    <x v="0"/>
    <x v="3"/>
  </r>
  <r>
    <x v="0"/>
    <x v="1"/>
  </r>
  <r>
    <x v="2"/>
    <x v="1"/>
  </r>
  <r>
    <x v="2"/>
    <x v="0"/>
  </r>
  <r>
    <x v="0"/>
    <x v="1"/>
  </r>
  <r>
    <x v="2"/>
    <x v="1"/>
  </r>
  <r>
    <x v="0"/>
    <x v="3"/>
  </r>
  <r>
    <x v="2"/>
    <x v="1"/>
  </r>
  <r>
    <x v="2"/>
    <x v="0"/>
  </r>
  <r>
    <x v="2"/>
    <x v="3"/>
  </r>
  <r>
    <x v="1"/>
    <x v="3"/>
  </r>
  <r>
    <x v="2"/>
    <x v="3"/>
  </r>
  <r>
    <x v="2"/>
    <x v="1"/>
  </r>
  <r>
    <x v="2"/>
    <x v="2"/>
  </r>
  <r>
    <x v="2"/>
    <x v="0"/>
  </r>
  <r>
    <x v="1"/>
    <x v="0"/>
  </r>
  <r>
    <x v="2"/>
    <x v="0"/>
  </r>
  <r>
    <x v="0"/>
    <x v="1"/>
  </r>
  <r>
    <x v="0"/>
    <x v="3"/>
  </r>
  <r>
    <x v="2"/>
    <x v="1"/>
  </r>
  <r>
    <x v="0"/>
    <x v="0"/>
  </r>
  <r>
    <x v="0"/>
    <x v="0"/>
  </r>
  <r>
    <x v="0"/>
    <x v="3"/>
  </r>
  <r>
    <x v="2"/>
    <x v="0"/>
  </r>
  <r>
    <x v="2"/>
    <x v="0"/>
  </r>
  <r>
    <x v="0"/>
    <x v="1"/>
  </r>
  <r>
    <x v="0"/>
    <x v="1"/>
  </r>
  <r>
    <x v="1"/>
    <x v="3"/>
  </r>
  <r>
    <x v="2"/>
    <x v="0"/>
  </r>
  <r>
    <x v="2"/>
    <x v="1"/>
  </r>
  <r>
    <x v="1"/>
    <x v="3"/>
  </r>
  <r>
    <x v="0"/>
    <x v="0"/>
  </r>
  <r>
    <x v="0"/>
    <x v="0"/>
  </r>
  <r>
    <x v="0"/>
    <x v="0"/>
  </r>
  <r>
    <x v="2"/>
    <x v="1"/>
  </r>
  <r>
    <x v="2"/>
    <x v="2"/>
  </r>
  <r>
    <x v="2"/>
    <x v="0"/>
  </r>
  <r>
    <x v="0"/>
    <x v="1"/>
  </r>
  <r>
    <x v="2"/>
    <x v="0"/>
  </r>
  <r>
    <x v="1"/>
    <x v="3"/>
  </r>
  <r>
    <x v="0"/>
    <x v="3"/>
  </r>
  <r>
    <x v="0"/>
    <x v="0"/>
  </r>
  <r>
    <x v="2"/>
    <x v="0"/>
  </r>
  <r>
    <x v="0"/>
    <x v="0"/>
  </r>
  <r>
    <x v="2"/>
    <x v="2"/>
  </r>
  <r>
    <x v="2"/>
    <x v="0"/>
  </r>
  <r>
    <x v="0"/>
    <x v="3"/>
  </r>
  <r>
    <x v="1"/>
    <x v="3"/>
  </r>
  <r>
    <x v="0"/>
    <x v="0"/>
  </r>
  <r>
    <x v="0"/>
    <x v="0"/>
  </r>
  <r>
    <x v="2"/>
    <x v="1"/>
  </r>
  <r>
    <x v="0"/>
    <x v="3"/>
  </r>
  <r>
    <x v="0"/>
    <x v="1"/>
  </r>
  <r>
    <x v="2"/>
    <x v="1"/>
  </r>
  <r>
    <x v="2"/>
    <x v="0"/>
  </r>
  <r>
    <x v="0"/>
    <x v="1"/>
  </r>
  <r>
    <x v="2"/>
    <x v="1"/>
  </r>
  <r>
    <x v="0"/>
    <x v="3"/>
  </r>
  <r>
    <x v="2"/>
    <x v="1"/>
  </r>
  <r>
    <x v="2"/>
    <x v="0"/>
  </r>
  <r>
    <x v="2"/>
    <x v="3"/>
  </r>
  <r>
    <x v="1"/>
    <x v="3"/>
  </r>
  <r>
    <x v="2"/>
    <x v="3"/>
  </r>
  <r>
    <x v="2"/>
    <x v="1"/>
  </r>
  <r>
    <x v="2"/>
    <x v="2"/>
  </r>
  <r>
    <x v="2"/>
    <x v="0"/>
  </r>
  <r>
    <x v="1"/>
    <x v="0"/>
  </r>
  <r>
    <x v="2"/>
    <x v="0"/>
  </r>
  <r>
    <x v="0"/>
    <x v="1"/>
  </r>
  <r>
    <x v="0"/>
    <x v="3"/>
  </r>
  <r>
    <x v="2"/>
    <x v="1"/>
  </r>
  <r>
    <x v="0"/>
    <x v="0"/>
  </r>
  <r>
    <x v="0"/>
    <x v="0"/>
  </r>
  <r>
    <x v="0"/>
    <x v="3"/>
  </r>
  <r>
    <x v="2"/>
    <x v="0"/>
  </r>
  <r>
    <x v="2"/>
    <x v="0"/>
  </r>
  <r>
    <x v="0"/>
    <x v="1"/>
  </r>
  <r>
    <x v="0"/>
    <x v="0"/>
  </r>
  <r>
    <x v="1"/>
    <x v="0"/>
  </r>
  <r>
    <x v="2"/>
    <x v="0"/>
  </r>
  <r>
    <x v="1"/>
    <x v="1"/>
  </r>
  <r>
    <x v="0"/>
    <x v="0"/>
  </r>
  <r>
    <x v="0"/>
    <x v="0"/>
  </r>
  <r>
    <x v="2"/>
    <x v="0"/>
  </r>
  <r>
    <x v="2"/>
    <x v="0"/>
  </r>
  <r>
    <x v="2"/>
    <x v="2"/>
  </r>
  <r>
    <x v="2"/>
    <x v="1"/>
  </r>
  <r>
    <x v="0"/>
    <x v="3"/>
  </r>
  <r>
    <x v="0"/>
    <x v="0"/>
  </r>
  <r>
    <x v="0"/>
    <x v="0"/>
  </r>
  <r>
    <x v="1"/>
    <x v="0"/>
  </r>
  <r>
    <x v="0"/>
    <x v="3"/>
  </r>
  <r>
    <x v="0"/>
    <x v="0"/>
  </r>
  <r>
    <x v="1"/>
    <x v="1"/>
  </r>
  <r>
    <x v="2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08515-C5E3-3240-BD87-F996A1AB76C7}" name="Tabela przestawna3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A3:E9" firstHeaderRow="1" firstDataRow="2" firstDataCol="1"/>
  <pivotFields count="2">
    <pivotField axis="axisCol" dataField="1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Liczba z kolor oczu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A2387-D0B6-434C-9A32-A119991573CB}" name="Tabela przestawna4" cacheId="0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V3:Z9" firstHeaderRow="1" firstDataRow="2" firstDataCol="1"/>
  <pivotFields count="2">
    <pivotField axis="axisCol" dataField="1" showAll="0">
      <items count="4">
        <item x="2"/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Liczba z kolor oczu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2370-9130-7948-BE81-46702EABF24A}">
  <dimension ref="A1:B15"/>
  <sheetViews>
    <sheetView workbookViewId="0">
      <selection sqref="A1:B15"/>
    </sheetView>
  </sheetViews>
  <sheetFormatPr baseColWidth="10" defaultRowHeight="13" x14ac:dyDescent="0.15"/>
  <sheetData>
    <row r="1" spans="1:2" x14ac:dyDescent="0.15">
      <c r="A1" s="7" t="s">
        <v>320</v>
      </c>
      <c r="B1" s="7"/>
    </row>
    <row r="2" spans="1:2" x14ac:dyDescent="0.15">
      <c r="A2" s="5"/>
      <c r="B2" s="5"/>
    </row>
    <row r="3" spans="1:2" x14ac:dyDescent="0.15">
      <c r="A3" s="5" t="s">
        <v>313</v>
      </c>
      <c r="B3" s="5">
        <v>43.534591194968556</v>
      </c>
    </row>
    <row r="4" spans="1:2" x14ac:dyDescent="0.15">
      <c r="A4" s="5" t="s">
        <v>321</v>
      </c>
      <c r="B4" s="5">
        <v>1.2139484651590131</v>
      </c>
    </row>
    <row r="5" spans="1:2" x14ac:dyDescent="0.15">
      <c r="A5" s="5" t="s">
        <v>322</v>
      </c>
      <c r="B5" s="5">
        <v>39</v>
      </c>
    </row>
    <row r="6" spans="1:2" x14ac:dyDescent="0.15">
      <c r="A6" s="5" t="s">
        <v>323</v>
      </c>
      <c r="B6" s="5">
        <v>32</v>
      </c>
    </row>
    <row r="7" spans="1:2" x14ac:dyDescent="0.15">
      <c r="A7" s="5" t="s">
        <v>315</v>
      </c>
      <c r="B7" s="5">
        <v>15.307307708863956</v>
      </c>
    </row>
    <row r="8" spans="1:2" x14ac:dyDescent="0.15">
      <c r="A8" s="5" t="s">
        <v>324</v>
      </c>
      <c r="B8" s="5">
        <v>234.31366929384589</v>
      </c>
    </row>
    <row r="9" spans="1:2" x14ac:dyDescent="0.15">
      <c r="A9" s="5" t="s">
        <v>316</v>
      </c>
      <c r="B9" s="5">
        <v>-0.63451859769936148</v>
      </c>
    </row>
    <row r="10" spans="1:2" x14ac:dyDescent="0.15">
      <c r="A10" s="5" t="s">
        <v>317</v>
      </c>
      <c r="B10" s="5">
        <v>0.67691457185815695</v>
      </c>
    </row>
    <row r="11" spans="1:2" x14ac:dyDescent="0.15">
      <c r="A11" s="5" t="s">
        <v>325</v>
      </c>
      <c r="B11" s="5">
        <v>59</v>
      </c>
    </row>
    <row r="12" spans="1:2" x14ac:dyDescent="0.15">
      <c r="A12" s="5" t="s">
        <v>326</v>
      </c>
      <c r="B12" s="5">
        <v>20</v>
      </c>
    </row>
    <row r="13" spans="1:2" x14ac:dyDescent="0.15">
      <c r="A13" s="5" t="s">
        <v>327</v>
      </c>
      <c r="B13" s="5">
        <v>79</v>
      </c>
    </row>
    <row r="14" spans="1:2" x14ac:dyDescent="0.15">
      <c r="A14" s="5" t="s">
        <v>328</v>
      </c>
      <c r="B14" s="5">
        <v>6922</v>
      </c>
    </row>
    <row r="15" spans="1:2" ht="14" thickBot="1" x14ac:dyDescent="0.2">
      <c r="A15" s="6" t="s">
        <v>329</v>
      </c>
      <c r="B15" s="6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09AC-041F-6D40-9AA9-76961C39CC78}">
  <dimension ref="A3:E9"/>
  <sheetViews>
    <sheetView zoomScale="135" workbookViewId="0">
      <selection activeCell="A3" sqref="A3:E9"/>
      <pivotSelection pane="bottomRight" showHeader="1" activeRow="2" previousRow="2" click="1" r:id="rId1">
        <pivotArea type="all" dataOnly="0" outline="0" fieldPosition="0"/>
      </pivotSelection>
    </sheetView>
  </sheetViews>
  <sheetFormatPr baseColWidth="10" defaultRowHeight="13" x14ac:dyDescent="0.15"/>
  <cols>
    <col min="1" max="1" width="17.1640625" bestFit="1" customWidth="1"/>
    <col min="2" max="2" width="16.83203125" bestFit="1" customWidth="1"/>
    <col min="3" max="3" width="8.6640625" bestFit="1" customWidth="1"/>
    <col min="4" max="4" width="7" bestFit="1" customWidth="1"/>
    <col min="5" max="5" width="13.33203125" bestFit="1" customWidth="1"/>
  </cols>
  <sheetData>
    <row r="3" spans="1:5" x14ac:dyDescent="0.15">
      <c r="A3" s="9" t="s">
        <v>341</v>
      </c>
      <c r="B3" s="9" t="s">
        <v>340</v>
      </c>
    </row>
    <row r="4" spans="1:5" x14ac:dyDescent="0.15">
      <c r="A4" s="9" t="s">
        <v>338</v>
      </c>
      <c r="B4" t="s">
        <v>7</v>
      </c>
      <c r="C4" t="s">
        <v>1</v>
      </c>
      <c r="D4" t="s">
        <v>4</v>
      </c>
      <c r="E4" t="s">
        <v>339</v>
      </c>
    </row>
    <row r="5" spans="1:5" x14ac:dyDescent="0.15">
      <c r="A5" s="10" t="s">
        <v>26</v>
      </c>
      <c r="B5" s="11">
        <v>9</v>
      </c>
      <c r="C5" s="11"/>
      <c r="D5" s="11"/>
      <c r="E5" s="11">
        <v>9</v>
      </c>
    </row>
    <row r="6" spans="1:5" x14ac:dyDescent="0.15">
      <c r="A6" s="10" t="s">
        <v>11</v>
      </c>
      <c r="B6" s="11">
        <v>21</v>
      </c>
      <c r="C6" s="11">
        <v>13</v>
      </c>
      <c r="D6" s="11">
        <v>8</v>
      </c>
      <c r="E6" s="11">
        <v>42</v>
      </c>
    </row>
    <row r="7" spans="1:5" x14ac:dyDescent="0.15">
      <c r="A7" s="10" t="s">
        <v>32</v>
      </c>
      <c r="B7" s="11">
        <v>6</v>
      </c>
      <c r="C7" s="11">
        <v>19</v>
      </c>
      <c r="D7" s="11">
        <v>10</v>
      </c>
      <c r="E7" s="11">
        <v>35</v>
      </c>
    </row>
    <row r="8" spans="1:5" x14ac:dyDescent="0.15">
      <c r="A8" s="10" t="s">
        <v>2</v>
      </c>
      <c r="B8" s="11">
        <v>27</v>
      </c>
      <c r="C8" s="11">
        <v>34</v>
      </c>
      <c r="D8" s="11">
        <v>12</v>
      </c>
      <c r="E8" s="11">
        <v>73</v>
      </c>
    </row>
    <row r="9" spans="1:5" x14ac:dyDescent="0.15">
      <c r="A9" s="10" t="s">
        <v>339</v>
      </c>
      <c r="B9" s="11">
        <v>63</v>
      </c>
      <c r="C9" s="11">
        <v>66</v>
      </c>
      <c r="D9" s="11">
        <v>30</v>
      </c>
      <c r="E9" s="1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9679-0E22-2841-B3AD-ABEB7729B24A}">
  <dimension ref="A1:G14"/>
  <sheetViews>
    <sheetView workbookViewId="0">
      <selection activeCell="A10" sqref="A10:G14"/>
    </sheetView>
  </sheetViews>
  <sheetFormatPr baseColWidth="10" defaultRowHeight="13" x14ac:dyDescent="0.15"/>
  <cols>
    <col min="6" max="6" width="10.83203125" customWidth="1"/>
  </cols>
  <sheetData>
    <row r="1" spans="1:7" x14ac:dyDescent="0.15">
      <c r="A1" t="s">
        <v>344</v>
      </c>
    </row>
    <row r="3" spans="1:7" ht="14" thickBot="1" x14ac:dyDescent="0.2">
      <c r="A3" t="s">
        <v>345</v>
      </c>
    </row>
    <row r="4" spans="1:7" x14ac:dyDescent="0.15">
      <c r="A4" s="12" t="s">
        <v>346</v>
      </c>
      <c r="B4" s="12" t="s">
        <v>329</v>
      </c>
      <c r="C4" s="12" t="s">
        <v>328</v>
      </c>
      <c r="D4" s="12" t="s">
        <v>313</v>
      </c>
      <c r="E4" s="12" t="s">
        <v>314</v>
      </c>
    </row>
    <row r="5" spans="1:7" x14ac:dyDescent="0.15">
      <c r="A5" s="5" t="s">
        <v>347</v>
      </c>
      <c r="B5" s="5">
        <v>75</v>
      </c>
      <c r="C5" s="5">
        <v>-5.1514348342607263E-14</v>
      </c>
      <c r="D5" s="5">
        <v>-6.8685797790143017E-16</v>
      </c>
      <c r="E5" s="5">
        <v>9.4749549549549545</v>
      </c>
    </row>
    <row r="6" spans="1:7" ht="14" thickBot="1" x14ac:dyDescent="0.2">
      <c r="A6" s="6" t="s">
        <v>348</v>
      </c>
      <c r="B6" s="6">
        <v>84</v>
      </c>
      <c r="C6" s="6">
        <v>-7.1054273576010019E-14</v>
      </c>
      <c r="D6" s="6">
        <v>-8.4588420923821446E-16</v>
      </c>
      <c r="E6" s="6">
        <v>7.6504589787722299</v>
      </c>
    </row>
    <row r="9" spans="1:7" x14ac:dyDescent="0.15">
      <c r="A9" t="s">
        <v>349</v>
      </c>
    </row>
    <row r="10" spans="1:7" x14ac:dyDescent="0.15">
      <c r="A10" t="s">
        <v>350</v>
      </c>
      <c r="B10" t="s">
        <v>351</v>
      </c>
      <c r="C10" t="s">
        <v>352</v>
      </c>
      <c r="D10" t="s">
        <v>353</v>
      </c>
      <c r="E10" t="s">
        <v>354</v>
      </c>
      <c r="F10" t="s">
        <v>355</v>
      </c>
      <c r="G10" t="s">
        <v>356</v>
      </c>
    </row>
    <row r="11" spans="1:7" x14ac:dyDescent="0.15">
      <c r="A11" t="s">
        <v>357</v>
      </c>
      <c r="B11">
        <v>-4.5474735088646412E-13</v>
      </c>
      <c r="C11">
        <v>1</v>
      </c>
      <c r="D11">
        <v>-4.5474735088646412E-13</v>
      </c>
      <c r="E11">
        <v>-5.3434231429916099E-14</v>
      </c>
      <c r="F11" t="e">
        <v>#NUM!</v>
      </c>
      <c r="G11">
        <v>3.9013722299352085</v>
      </c>
    </row>
    <row r="12" spans="1:7" x14ac:dyDescent="0.15">
      <c r="A12" t="s">
        <v>358</v>
      </c>
      <c r="B12">
        <v>1336.1347619047615</v>
      </c>
      <c r="C12">
        <v>157</v>
      </c>
      <c r="D12">
        <v>8.5104124962086711</v>
      </c>
    </row>
    <row r="14" spans="1:7" x14ac:dyDescent="0.15">
      <c r="A14" t="s">
        <v>359</v>
      </c>
      <c r="B14">
        <v>1336.134761904761</v>
      </c>
      <c r="C14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0"/>
  <sheetViews>
    <sheetView tabSelected="1" topLeftCell="O1" zoomScale="98" zoomScaleNormal="100" workbookViewId="0">
      <selection activeCell="W21" sqref="W21"/>
    </sheetView>
  </sheetViews>
  <sheetFormatPr baseColWidth="10" defaultColWidth="8.83203125" defaultRowHeight="13" x14ac:dyDescent="0.15"/>
  <cols>
    <col min="1" max="1" width="9.5" customWidth="1"/>
    <col min="2" max="2" width="10.5" customWidth="1"/>
    <col min="3" max="3" width="12.5" customWidth="1"/>
    <col min="4" max="4" width="15.83203125" customWidth="1"/>
    <col min="5" max="11" width="9.5" customWidth="1"/>
    <col min="12" max="12" width="15.5" customWidth="1"/>
    <col min="13" max="14" width="9.1640625" bestFit="1" customWidth="1"/>
    <col min="20" max="20" width="9.1640625" bestFit="1" customWidth="1"/>
    <col min="22" max="22" width="17.5" customWidth="1"/>
    <col min="23" max="23" width="15.1640625" customWidth="1"/>
    <col min="24" max="25" width="13" bestFit="1" customWidth="1"/>
    <col min="26" max="26" width="14.83203125" customWidth="1"/>
  </cols>
  <sheetData>
    <row r="1" spans="1:26" x14ac:dyDescent="0.15">
      <c r="A1" s="1" t="s">
        <v>300</v>
      </c>
      <c r="B1" s="1" t="s">
        <v>301</v>
      </c>
      <c r="C1" s="1" t="s">
        <v>302</v>
      </c>
      <c r="D1" s="1" t="s">
        <v>311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N1" s="4" t="s">
        <v>312</v>
      </c>
    </row>
    <row r="2" spans="1:26" x14ac:dyDescent="0.15">
      <c r="A2" t="s">
        <v>0</v>
      </c>
      <c r="B2" t="s">
        <v>1</v>
      </c>
      <c r="C2" t="s">
        <v>2</v>
      </c>
      <c r="D2" s="2">
        <v>175.26</v>
      </c>
      <c r="E2" s="2">
        <v>118.38760857000001</v>
      </c>
      <c r="F2">
        <v>32</v>
      </c>
      <c r="G2">
        <v>61.133887000000001</v>
      </c>
      <c r="H2">
        <v>58.974373999999997</v>
      </c>
      <c r="I2">
        <v>8</v>
      </c>
      <c r="J2">
        <v>16</v>
      </c>
      <c r="K2">
        <v>17</v>
      </c>
      <c r="L2">
        <v>13.666667</v>
      </c>
      <c r="N2" t="s">
        <v>313</v>
      </c>
      <c r="O2" s="3">
        <f>AVERAGE(F2:F160)</f>
        <v>43.534591194968556</v>
      </c>
    </row>
    <row r="3" spans="1:26" x14ac:dyDescent="0.15">
      <c r="A3" t="s">
        <v>3</v>
      </c>
      <c r="B3" t="s">
        <v>4</v>
      </c>
      <c r="C3" t="s">
        <v>5</v>
      </c>
      <c r="D3" s="2">
        <v>167.64000000000001</v>
      </c>
      <c r="E3" s="2">
        <v>69.853224980000007</v>
      </c>
      <c r="F3">
        <v>78</v>
      </c>
      <c r="G3">
        <v>38.471423999999999</v>
      </c>
      <c r="H3">
        <v>50.775719000000002</v>
      </c>
      <c r="I3">
        <v>5</v>
      </c>
      <c r="J3">
        <v>16</v>
      </c>
      <c r="K3">
        <v>12</v>
      </c>
      <c r="L3">
        <v>11</v>
      </c>
      <c r="N3" t="s">
        <v>314</v>
      </c>
      <c r="O3" s="3">
        <f>_xlfn.VAR.S(F2:F160)</f>
        <v>234.31366929384589</v>
      </c>
      <c r="V3" s="9" t="s">
        <v>341</v>
      </c>
      <c r="W3" s="9" t="s">
        <v>340</v>
      </c>
    </row>
    <row r="4" spans="1:26" x14ac:dyDescent="0.15">
      <c r="A4" t="s">
        <v>6</v>
      </c>
      <c r="B4" t="s">
        <v>7</v>
      </c>
      <c r="C4" t="s">
        <v>8</v>
      </c>
      <c r="D4" s="2">
        <v>170.18</v>
      </c>
      <c r="E4" s="2">
        <v>89.811289260000009</v>
      </c>
      <c r="F4">
        <v>32</v>
      </c>
      <c r="G4">
        <v>38.985394999999997</v>
      </c>
      <c r="H4">
        <v>65.184669</v>
      </c>
      <c r="I4">
        <v>8</v>
      </c>
      <c r="J4">
        <v>21</v>
      </c>
      <c r="K4">
        <v>14</v>
      </c>
      <c r="L4">
        <v>14.333333</v>
      </c>
      <c r="N4" t="s">
        <v>315</v>
      </c>
      <c r="P4" s="3">
        <f>_xlfn.STDEV.S(F2:F160)</f>
        <v>15.307307708863956</v>
      </c>
      <c r="V4" s="9" t="s">
        <v>338</v>
      </c>
      <c r="W4" t="s">
        <v>7</v>
      </c>
      <c r="X4" t="s">
        <v>1</v>
      </c>
      <c r="Y4" t="s">
        <v>4</v>
      </c>
      <c r="Z4" t="s">
        <v>339</v>
      </c>
    </row>
    <row r="5" spans="1:26" x14ac:dyDescent="0.15">
      <c r="A5" t="s">
        <v>9</v>
      </c>
      <c r="B5" t="s">
        <v>10</v>
      </c>
      <c r="C5" t="s">
        <v>11</v>
      </c>
      <c r="D5" s="2">
        <v>177.8</v>
      </c>
      <c r="E5" s="2">
        <v>65.317301280000009</v>
      </c>
      <c r="F5">
        <v>35</v>
      </c>
      <c r="G5">
        <v>62.206387999999997</v>
      </c>
      <c r="H5">
        <v>75.947862000000001</v>
      </c>
      <c r="I5">
        <v>5</v>
      </c>
      <c r="J5">
        <v>21</v>
      </c>
      <c r="K5">
        <v>17</v>
      </c>
      <c r="L5">
        <v>14.333333</v>
      </c>
      <c r="M5" t="s">
        <v>316</v>
      </c>
      <c r="N5" s="3">
        <f>KURT(F2:F160)</f>
        <v>-0.63451859769936148</v>
      </c>
      <c r="V5" s="10" t="s">
        <v>26</v>
      </c>
      <c r="W5" s="11">
        <v>9</v>
      </c>
      <c r="X5" s="11"/>
      <c r="Y5" s="11"/>
      <c r="Z5" s="11">
        <v>9</v>
      </c>
    </row>
    <row r="6" spans="1:26" x14ac:dyDescent="0.15">
      <c r="A6" t="s">
        <v>12</v>
      </c>
      <c r="B6" t="s">
        <v>13</v>
      </c>
      <c r="C6" t="s">
        <v>14</v>
      </c>
      <c r="D6" s="2">
        <v>165.1</v>
      </c>
      <c r="E6" s="2">
        <v>83.914588450000011</v>
      </c>
      <c r="F6">
        <v>50</v>
      </c>
      <c r="G6">
        <v>47.899839</v>
      </c>
      <c r="H6">
        <v>71.652545000000003</v>
      </c>
      <c r="I6">
        <v>13</v>
      </c>
      <c r="J6">
        <v>16</v>
      </c>
      <c r="K6">
        <v>16</v>
      </c>
      <c r="L6">
        <v>15</v>
      </c>
      <c r="M6" t="s">
        <v>317</v>
      </c>
      <c r="N6" s="3">
        <f>_xlfn.SKEW.P(F2:F160)</f>
        <v>0.67051177651623284</v>
      </c>
      <c r="V6" s="10" t="s">
        <v>11</v>
      </c>
      <c r="W6" s="11">
        <v>21</v>
      </c>
      <c r="X6" s="11">
        <v>13</v>
      </c>
      <c r="Y6" s="11">
        <v>8</v>
      </c>
      <c r="Z6" s="11">
        <v>42</v>
      </c>
    </row>
    <row r="7" spans="1:26" x14ac:dyDescent="0.15">
      <c r="A7" t="s">
        <v>15</v>
      </c>
      <c r="B7" t="s">
        <v>16</v>
      </c>
      <c r="C7" t="s">
        <v>17</v>
      </c>
      <c r="D7" s="2">
        <v>177.8</v>
      </c>
      <c r="E7" s="2">
        <v>74.842741050000001</v>
      </c>
      <c r="F7">
        <v>58</v>
      </c>
      <c r="G7">
        <v>66.049015999999995</v>
      </c>
      <c r="H7">
        <v>47.882886999999997</v>
      </c>
      <c r="I7">
        <v>12</v>
      </c>
      <c r="J7">
        <v>24</v>
      </c>
      <c r="K7">
        <v>17</v>
      </c>
      <c r="L7">
        <v>17.666667</v>
      </c>
      <c r="M7" t="s">
        <v>318</v>
      </c>
      <c r="P7" t="s">
        <v>319</v>
      </c>
      <c r="Q7" s="3">
        <f>P4/O2*100</f>
        <v>35.161252899586373</v>
      </c>
      <c r="V7" s="10" t="s">
        <v>32</v>
      </c>
      <c r="W7" s="11">
        <v>6</v>
      </c>
      <c r="X7" s="11">
        <v>19</v>
      </c>
      <c r="Y7" s="11">
        <v>10</v>
      </c>
      <c r="Z7" s="11">
        <v>35</v>
      </c>
    </row>
    <row r="8" spans="1:26" x14ac:dyDescent="0.15">
      <c r="A8" t="s">
        <v>18</v>
      </c>
      <c r="B8" t="s">
        <v>19</v>
      </c>
      <c r="C8" t="s">
        <v>20</v>
      </c>
      <c r="D8" s="2">
        <v>160.02000000000001</v>
      </c>
      <c r="E8" s="2">
        <v>96.161582440000004</v>
      </c>
      <c r="F8">
        <v>33</v>
      </c>
      <c r="G8">
        <v>19.554777000000001</v>
      </c>
      <c r="H8">
        <v>44.570954</v>
      </c>
      <c r="I8">
        <v>11</v>
      </c>
      <c r="J8">
        <v>20</v>
      </c>
      <c r="K8">
        <v>14</v>
      </c>
      <c r="L8">
        <v>15</v>
      </c>
      <c r="M8" s="8"/>
      <c r="V8" s="10" t="s">
        <v>2</v>
      </c>
      <c r="W8" s="11">
        <v>27</v>
      </c>
      <c r="X8" s="11">
        <v>34</v>
      </c>
      <c r="Y8" s="11">
        <v>12</v>
      </c>
      <c r="Z8" s="11">
        <v>73</v>
      </c>
    </row>
    <row r="9" spans="1:26" x14ac:dyDescent="0.15">
      <c r="A9" t="s">
        <v>21</v>
      </c>
      <c r="B9" t="s">
        <v>22</v>
      </c>
      <c r="C9" t="s">
        <v>23</v>
      </c>
      <c r="D9" s="2">
        <v>182.88</v>
      </c>
      <c r="E9" s="2">
        <v>84.821773190000002</v>
      </c>
      <c r="F9">
        <v>61</v>
      </c>
      <c r="G9">
        <v>44.243456000000002</v>
      </c>
      <c r="H9">
        <v>59.642626999999997</v>
      </c>
      <c r="I9">
        <v>8</v>
      </c>
      <c r="J9">
        <v>21</v>
      </c>
      <c r="K9">
        <v>15</v>
      </c>
      <c r="L9">
        <v>14.666667</v>
      </c>
      <c r="M9">
        <f>_xlfn.QUARTILE.INC(F2:F160,1)</f>
        <v>32</v>
      </c>
      <c r="N9" s="8" t="s">
        <v>332</v>
      </c>
      <c r="V9" s="10" t="s">
        <v>339</v>
      </c>
      <c r="W9" s="11">
        <v>63</v>
      </c>
      <c r="X9" s="11">
        <v>66</v>
      </c>
      <c r="Y9" s="11">
        <v>30</v>
      </c>
      <c r="Z9" s="11">
        <v>159</v>
      </c>
    </row>
    <row r="10" spans="1:26" x14ac:dyDescent="0.15">
      <c r="A10" t="s">
        <v>24</v>
      </c>
      <c r="B10" t="s">
        <v>25</v>
      </c>
      <c r="C10" t="s">
        <v>26</v>
      </c>
      <c r="D10" s="2">
        <v>185.42000000000002</v>
      </c>
      <c r="E10" s="2">
        <v>73.028371570000004</v>
      </c>
      <c r="F10">
        <v>45</v>
      </c>
      <c r="G10">
        <v>58.538367999999998</v>
      </c>
      <c r="H10">
        <v>69.994714000000002</v>
      </c>
      <c r="I10">
        <v>11</v>
      </c>
      <c r="J10">
        <v>17</v>
      </c>
      <c r="K10">
        <v>19</v>
      </c>
      <c r="L10">
        <v>15.666667</v>
      </c>
      <c r="M10">
        <f>_xlfn.QUARTILE.INC(F2:F160,2)</f>
        <v>39</v>
      </c>
      <c r="N10" s="8" t="s">
        <v>333</v>
      </c>
    </row>
    <row r="11" spans="1:26" x14ac:dyDescent="0.15">
      <c r="A11" t="s">
        <v>27</v>
      </c>
      <c r="B11" t="s">
        <v>28</v>
      </c>
      <c r="C11" t="s">
        <v>29</v>
      </c>
      <c r="D11" s="2">
        <v>175.26</v>
      </c>
      <c r="E11" s="2">
        <v>60.327785210000002</v>
      </c>
      <c r="F11">
        <v>66</v>
      </c>
      <c r="G11">
        <v>64.236069999999998</v>
      </c>
      <c r="H11">
        <v>74.886369999999999</v>
      </c>
      <c r="I11">
        <v>8</v>
      </c>
      <c r="J11">
        <v>15</v>
      </c>
      <c r="K11">
        <v>17</v>
      </c>
      <c r="L11">
        <v>13.333333</v>
      </c>
      <c r="M11">
        <f>_xlfn.QUARTILE.INC(F2:F160,3)</f>
        <v>56.5</v>
      </c>
      <c r="N11" s="8" t="s">
        <v>334</v>
      </c>
      <c r="V11" s="8" t="s">
        <v>362</v>
      </c>
    </row>
    <row r="12" spans="1:26" x14ac:dyDescent="0.15">
      <c r="A12" t="s">
        <v>30</v>
      </c>
      <c r="B12" t="s">
        <v>31</v>
      </c>
      <c r="C12" t="s">
        <v>32</v>
      </c>
      <c r="D12" s="2">
        <v>187.96</v>
      </c>
      <c r="E12" s="2">
        <v>91.625658740000006</v>
      </c>
      <c r="F12">
        <v>29</v>
      </c>
      <c r="G12">
        <v>60.057274999999997</v>
      </c>
      <c r="H12">
        <v>44.466743999999998</v>
      </c>
      <c r="I12">
        <v>8</v>
      </c>
      <c r="J12">
        <v>21</v>
      </c>
      <c r="K12">
        <v>17</v>
      </c>
      <c r="L12">
        <v>15.333333</v>
      </c>
      <c r="M12">
        <f>_xlfn.QUARTILE.INC(F2:F160,4)</f>
        <v>79</v>
      </c>
      <c r="N12" s="8" t="s">
        <v>335</v>
      </c>
      <c r="W12" s="8" t="s">
        <v>7</v>
      </c>
      <c r="X12" s="8" t="s">
        <v>1</v>
      </c>
      <c r="Y12" s="8" t="s">
        <v>4</v>
      </c>
      <c r="Z12" s="8" t="s">
        <v>363</v>
      </c>
    </row>
    <row r="13" spans="1:26" x14ac:dyDescent="0.15">
      <c r="A13" t="s">
        <v>33</v>
      </c>
      <c r="B13" t="s">
        <v>34</v>
      </c>
      <c r="C13" t="s">
        <v>35</v>
      </c>
      <c r="D13" s="2">
        <v>167.64000000000001</v>
      </c>
      <c r="E13" s="2">
        <v>81.193034230000009</v>
      </c>
      <c r="F13">
        <v>39</v>
      </c>
      <c r="G13">
        <v>42.567030000000003</v>
      </c>
      <c r="H13">
        <v>50.304372999999998</v>
      </c>
      <c r="I13">
        <v>13</v>
      </c>
      <c r="J13">
        <v>17</v>
      </c>
      <c r="K13">
        <v>11</v>
      </c>
      <c r="L13">
        <v>13.666667</v>
      </c>
      <c r="V13" s="8" t="s">
        <v>26</v>
      </c>
      <c r="W13" s="18">
        <f>9*63/159</f>
        <v>3.5660377358490565</v>
      </c>
      <c r="X13" s="18">
        <f>9*66/159</f>
        <v>3.7358490566037736</v>
      </c>
      <c r="Y13" s="18">
        <f>9*30/159</f>
        <v>1.6981132075471699</v>
      </c>
      <c r="Z13">
        <v>9</v>
      </c>
    </row>
    <row r="14" spans="1:26" x14ac:dyDescent="0.15">
      <c r="A14" t="s">
        <v>36</v>
      </c>
      <c r="B14" t="s">
        <v>37</v>
      </c>
      <c r="C14" t="s">
        <v>38</v>
      </c>
      <c r="D14" s="2">
        <v>177.8</v>
      </c>
      <c r="E14" s="2">
        <v>81.646626600000005</v>
      </c>
      <c r="F14">
        <v>45</v>
      </c>
      <c r="G14">
        <v>60.386046</v>
      </c>
      <c r="H14">
        <v>54.906331999999999</v>
      </c>
      <c r="I14">
        <v>8</v>
      </c>
      <c r="J14">
        <v>18</v>
      </c>
      <c r="K14">
        <v>10</v>
      </c>
      <c r="L14">
        <v>12</v>
      </c>
      <c r="V14" s="8" t="s">
        <v>11</v>
      </c>
      <c r="W14" s="18">
        <f>42*63/159</f>
        <v>16.641509433962263</v>
      </c>
      <c r="X14" s="18">
        <f>42*66/159</f>
        <v>17.433962264150942</v>
      </c>
      <c r="Y14" s="18">
        <f>42*30/159</f>
        <v>7.9245283018867925</v>
      </c>
      <c r="Z14">
        <v>42</v>
      </c>
    </row>
    <row r="15" spans="1:26" x14ac:dyDescent="0.15">
      <c r="A15" t="s">
        <v>39</v>
      </c>
      <c r="B15" t="s">
        <v>40</v>
      </c>
      <c r="C15" t="s">
        <v>41</v>
      </c>
      <c r="D15" s="2">
        <v>180.34</v>
      </c>
      <c r="E15" s="2">
        <v>78.925072380000003</v>
      </c>
      <c r="F15">
        <v>43</v>
      </c>
      <c r="G15">
        <v>44.160603999999999</v>
      </c>
      <c r="H15">
        <v>75.876992999999999</v>
      </c>
      <c r="I15">
        <v>9</v>
      </c>
      <c r="J15">
        <v>22</v>
      </c>
      <c r="K15">
        <v>11</v>
      </c>
      <c r="L15">
        <v>14</v>
      </c>
      <c r="M15" t="s">
        <v>342</v>
      </c>
      <c r="V15" s="8" t="s">
        <v>32</v>
      </c>
      <c r="W15" s="18">
        <f>35*63/159</f>
        <v>13.867924528301886</v>
      </c>
      <c r="X15" s="18">
        <f>35*66/159</f>
        <v>14.528301886792454</v>
      </c>
      <c r="Y15" s="18">
        <f>35*30/159</f>
        <v>6.6037735849056602</v>
      </c>
      <c r="Z15">
        <v>35</v>
      </c>
    </row>
    <row r="16" spans="1:26" x14ac:dyDescent="0.15">
      <c r="A16" t="s">
        <v>42</v>
      </c>
      <c r="B16" t="s">
        <v>43</v>
      </c>
      <c r="C16" t="s">
        <v>44</v>
      </c>
      <c r="D16" s="2">
        <v>175.26</v>
      </c>
      <c r="E16" s="2">
        <v>96.615174809999999</v>
      </c>
      <c r="F16">
        <v>39</v>
      </c>
      <c r="G16">
        <v>44.379573999999998</v>
      </c>
      <c r="H16">
        <v>44.684539000000001</v>
      </c>
      <c r="I16">
        <v>8</v>
      </c>
      <c r="J16">
        <v>24</v>
      </c>
      <c r="K16">
        <v>12</v>
      </c>
      <c r="L16">
        <v>14.666667</v>
      </c>
      <c r="M16" s="8" t="s">
        <v>330</v>
      </c>
      <c r="V16" s="8" t="s">
        <v>2</v>
      </c>
      <c r="W16" s="18">
        <f>73*63/159</f>
        <v>28.924528301886792</v>
      </c>
      <c r="X16" s="18">
        <f>73*66/159</f>
        <v>30.30188679245283</v>
      </c>
      <c r="Y16" s="18">
        <f>73*30/159</f>
        <v>13.773584905660377</v>
      </c>
      <c r="Z16">
        <v>73</v>
      </c>
    </row>
    <row r="17" spans="1:26" x14ac:dyDescent="0.15">
      <c r="A17" t="s">
        <v>45</v>
      </c>
      <c r="B17" t="s">
        <v>46</v>
      </c>
      <c r="C17" t="s">
        <v>47</v>
      </c>
      <c r="D17" s="2">
        <v>165.1</v>
      </c>
      <c r="E17" s="2">
        <v>79.378664749999999</v>
      </c>
      <c r="F17">
        <v>57</v>
      </c>
      <c r="G17">
        <v>34.923717000000003</v>
      </c>
      <c r="H17">
        <v>59.384247000000002</v>
      </c>
      <c r="I17">
        <v>6</v>
      </c>
      <c r="J17">
        <v>16</v>
      </c>
      <c r="K17">
        <v>19</v>
      </c>
      <c r="L17">
        <v>13.666667</v>
      </c>
      <c r="M17" s="3">
        <f>NORMSINV(1-0.05/2)</f>
        <v>1.9599639845400536</v>
      </c>
      <c r="V17" s="8" t="s">
        <v>328</v>
      </c>
      <c r="W17" s="18">
        <f>SUM(W13:W16)</f>
        <v>63</v>
      </c>
      <c r="X17" s="18">
        <f>SUM(X13:X16)</f>
        <v>66</v>
      </c>
      <c r="Y17" s="18">
        <f>SUM(Y13:Y16)</f>
        <v>30</v>
      </c>
      <c r="Z17" s="18">
        <f>SUM(Z13:Z16)</f>
        <v>159</v>
      </c>
    </row>
    <row r="18" spans="1:26" x14ac:dyDescent="0.15">
      <c r="A18" t="s">
        <v>48</v>
      </c>
      <c r="B18" t="s">
        <v>49</v>
      </c>
      <c r="C18" t="s">
        <v>50</v>
      </c>
      <c r="D18" s="2">
        <v>154.94</v>
      </c>
      <c r="E18" s="2">
        <v>97.522359550000004</v>
      </c>
      <c r="F18">
        <v>20</v>
      </c>
      <c r="G18">
        <v>45.083300999999999</v>
      </c>
      <c r="H18">
        <v>54.658848999999996</v>
      </c>
      <c r="I18">
        <v>14</v>
      </c>
      <c r="J18">
        <v>17</v>
      </c>
      <c r="K18">
        <v>10</v>
      </c>
      <c r="L18">
        <v>13.666667</v>
      </c>
      <c r="M18">
        <f>O2-M17*P4/SQRT(159)</f>
        <v>41.155295924169216</v>
      </c>
      <c r="N18" s="8" t="s">
        <v>331</v>
      </c>
      <c r="O18" s="8" t="s">
        <v>331</v>
      </c>
      <c r="P18">
        <f>O2+M17*P4/SQRT(159)</f>
        <v>45.913886465767895</v>
      </c>
    </row>
    <row r="19" spans="1:26" x14ac:dyDescent="0.15">
      <c r="A19" t="s">
        <v>51</v>
      </c>
      <c r="B19" t="s">
        <v>52</v>
      </c>
      <c r="C19" t="s">
        <v>53</v>
      </c>
      <c r="D19" s="2">
        <v>157.47999999999999</v>
      </c>
      <c r="E19" s="2">
        <v>86.182550300000003</v>
      </c>
      <c r="F19">
        <v>36</v>
      </c>
      <c r="G19">
        <v>36.367286</v>
      </c>
      <c r="H19">
        <v>65.344306000000003</v>
      </c>
      <c r="I19">
        <v>11</v>
      </c>
      <c r="J19">
        <v>16</v>
      </c>
      <c r="K19">
        <v>16</v>
      </c>
      <c r="L19">
        <v>14.333333</v>
      </c>
      <c r="M19" t="s">
        <v>343</v>
      </c>
    </row>
    <row r="20" spans="1:26" x14ac:dyDescent="0.15">
      <c r="A20" t="s">
        <v>54</v>
      </c>
      <c r="B20" t="s">
        <v>55</v>
      </c>
      <c r="C20" t="s">
        <v>56</v>
      </c>
      <c r="D20" s="2">
        <v>170.18</v>
      </c>
      <c r="E20" s="2">
        <v>87.543327410000003</v>
      </c>
      <c r="F20">
        <v>32</v>
      </c>
      <c r="G20">
        <v>45.362135000000002</v>
      </c>
      <c r="H20">
        <v>49.541854000000001</v>
      </c>
      <c r="I20">
        <v>6</v>
      </c>
      <c r="J20">
        <v>19</v>
      </c>
      <c r="K20">
        <v>12</v>
      </c>
      <c r="L20">
        <v>12.333333</v>
      </c>
      <c r="M20" s="8"/>
    </row>
    <row r="21" spans="1:26" x14ac:dyDescent="0.15">
      <c r="A21" t="s">
        <v>57</v>
      </c>
      <c r="B21" t="s">
        <v>58</v>
      </c>
      <c r="C21" t="s">
        <v>59</v>
      </c>
      <c r="D21" s="2">
        <v>185.42000000000002</v>
      </c>
      <c r="E21" s="2">
        <v>76.203518160000002</v>
      </c>
      <c r="F21">
        <v>62</v>
      </c>
      <c r="G21">
        <v>58.607816</v>
      </c>
      <c r="H21">
        <v>53.719577000000001</v>
      </c>
      <c r="I21">
        <v>10</v>
      </c>
      <c r="J21">
        <v>24</v>
      </c>
      <c r="K21">
        <v>17</v>
      </c>
      <c r="L21">
        <v>17</v>
      </c>
      <c r="M21" s="8"/>
      <c r="N21" s="3">
        <f>NORMSINV(1-0.05/2)</f>
        <v>1.9599639845400536</v>
      </c>
      <c r="O21">
        <f>P4/(1+N21/(SQRT(2*159)))</f>
        <v>13.791493951615855</v>
      </c>
      <c r="P21" t="s">
        <v>331</v>
      </c>
      <c r="R21" t="s">
        <v>331</v>
      </c>
      <c r="S21">
        <f>P4/(1-N21/SQRT(2*159))</f>
        <v>17.197469984529281</v>
      </c>
      <c r="V21" s="8" t="s">
        <v>364</v>
      </c>
      <c r="W21">
        <f>(9-W13)^2/W13+(21-W14)^2/W14+(6-W15)^2/W15+(27-W16)^2/W16+(0-X13)^2/X13+(13-X14)^2/X14+(19-X15)^2/X15+(34-X16)^2/X16+(0-Y13)^2/Y13+(8-Y14)^2/Y14+(10-Y15)^2/Y15+(12-Y16)^2/Y16</f>
        <v>24.378783219389874</v>
      </c>
    </row>
    <row r="22" spans="1:26" x14ac:dyDescent="0.15">
      <c r="A22" t="s">
        <v>60</v>
      </c>
      <c r="B22" t="s">
        <v>61</v>
      </c>
      <c r="C22" t="s">
        <v>62</v>
      </c>
      <c r="D22" s="2">
        <v>182.88</v>
      </c>
      <c r="E22" s="2">
        <v>85.275365559999997</v>
      </c>
      <c r="F22">
        <v>32</v>
      </c>
      <c r="G22">
        <v>53.952210000000001</v>
      </c>
      <c r="H22">
        <v>64.560869999999994</v>
      </c>
      <c r="I22">
        <v>11</v>
      </c>
      <c r="J22">
        <v>16</v>
      </c>
      <c r="K22">
        <v>11</v>
      </c>
      <c r="L22">
        <v>12.666667</v>
      </c>
      <c r="O22" s="8"/>
      <c r="P22" s="8"/>
      <c r="Q22" s="8"/>
    </row>
    <row r="23" spans="1:26" x14ac:dyDescent="0.15">
      <c r="A23" t="s">
        <v>63</v>
      </c>
      <c r="B23" t="s">
        <v>64</v>
      </c>
      <c r="C23" t="s">
        <v>65</v>
      </c>
      <c r="D23" s="2">
        <v>187.96</v>
      </c>
      <c r="E23" s="2">
        <v>101.15109851000001</v>
      </c>
      <c r="F23">
        <v>56</v>
      </c>
      <c r="G23">
        <v>37.140706999999999</v>
      </c>
      <c r="H23">
        <v>37.734889000000003</v>
      </c>
      <c r="I23">
        <v>6</v>
      </c>
      <c r="J23">
        <v>24</v>
      </c>
      <c r="K23">
        <v>11</v>
      </c>
      <c r="L23">
        <v>13.666667</v>
      </c>
    </row>
    <row r="24" spans="1:26" x14ac:dyDescent="0.15">
      <c r="A24" t="s">
        <v>66</v>
      </c>
      <c r="B24" t="s">
        <v>67</v>
      </c>
      <c r="C24" t="s">
        <v>68</v>
      </c>
      <c r="D24" s="2">
        <v>172.72</v>
      </c>
      <c r="E24" s="2">
        <v>84.368180820000006</v>
      </c>
      <c r="F24">
        <v>59</v>
      </c>
      <c r="G24">
        <v>47.199770999999998</v>
      </c>
      <c r="H24">
        <v>43.806919999999998</v>
      </c>
      <c r="I24">
        <v>8</v>
      </c>
      <c r="J24">
        <v>21</v>
      </c>
      <c r="K24">
        <v>16</v>
      </c>
      <c r="L24">
        <v>15</v>
      </c>
      <c r="N24" s="1"/>
      <c r="O24" s="1"/>
      <c r="P24" s="1"/>
      <c r="Q24" s="16"/>
      <c r="R24" s="17"/>
      <c r="V24" s="8" t="s">
        <v>365</v>
      </c>
      <c r="Y24" s="8" t="s">
        <v>366</v>
      </c>
      <c r="Z24">
        <v>18.55</v>
      </c>
    </row>
    <row r="25" spans="1:26" x14ac:dyDescent="0.15">
      <c r="A25" t="s">
        <v>69</v>
      </c>
      <c r="B25" t="s">
        <v>70</v>
      </c>
      <c r="C25" t="s">
        <v>71</v>
      </c>
      <c r="D25" s="2">
        <v>165.1</v>
      </c>
      <c r="E25" s="2">
        <v>85.728957930000007</v>
      </c>
      <c r="F25">
        <v>24</v>
      </c>
      <c r="G25">
        <v>51.449362000000001</v>
      </c>
      <c r="H25">
        <v>64.698187000000004</v>
      </c>
      <c r="I25">
        <v>12</v>
      </c>
      <c r="J25">
        <v>19</v>
      </c>
      <c r="K25">
        <v>15</v>
      </c>
      <c r="L25">
        <v>15.333333</v>
      </c>
      <c r="Q25" s="17"/>
      <c r="R25" s="16"/>
      <c r="S25" s="8"/>
    </row>
    <row r="26" spans="1:26" x14ac:dyDescent="0.15">
      <c r="A26" t="s">
        <v>72</v>
      </c>
      <c r="B26" t="s">
        <v>73</v>
      </c>
      <c r="C26" t="s">
        <v>74</v>
      </c>
      <c r="D26" s="2">
        <v>180.34</v>
      </c>
      <c r="E26" s="2">
        <v>92.986435850000007</v>
      </c>
      <c r="F26">
        <v>20</v>
      </c>
      <c r="G26">
        <v>24.591373999999998</v>
      </c>
      <c r="H26">
        <v>69.391261</v>
      </c>
      <c r="I26">
        <v>10</v>
      </c>
      <c r="J26">
        <v>16</v>
      </c>
      <c r="K26">
        <v>17</v>
      </c>
      <c r="L26">
        <v>14.333333</v>
      </c>
      <c r="M26" s="8"/>
      <c r="Q26" s="17"/>
      <c r="R26" s="16"/>
      <c r="V26" t="s">
        <v>367</v>
      </c>
    </row>
    <row r="27" spans="1:26" x14ac:dyDescent="0.15">
      <c r="A27" t="s">
        <v>75</v>
      </c>
      <c r="B27" t="s">
        <v>76</v>
      </c>
      <c r="C27" t="s">
        <v>77</v>
      </c>
      <c r="D27" s="2">
        <v>187.96</v>
      </c>
      <c r="E27" s="2">
        <v>90.264881630000005</v>
      </c>
      <c r="F27">
        <v>68</v>
      </c>
      <c r="G27">
        <v>57.472141000000001</v>
      </c>
      <c r="H27">
        <v>48.641548</v>
      </c>
      <c r="I27">
        <v>12</v>
      </c>
      <c r="J27">
        <v>17</v>
      </c>
      <c r="K27">
        <v>10</v>
      </c>
      <c r="L27">
        <v>13</v>
      </c>
      <c r="M27" s="8"/>
      <c r="Q27" s="16"/>
      <c r="R27" s="16"/>
      <c r="V27" s="8" t="s">
        <v>368</v>
      </c>
    </row>
    <row r="28" spans="1:26" x14ac:dyDescent="0.15">
      <c r="A28" t="s">
        <v>78</v>
      </c>
      <c r="B28" t="s">
        <v>79</v>
      </c>
      <c r="C28" t="s">
        <v>80</v>
      </c>
      <c r="D28" s="2">
        <v>170.18</v>
      </c>
      <c r="E28" s="2">
        <v>86.182550300000003</v>
      </c>
      <c r="F28">
        <v>66</v>
      </c>
      <c r="G28">
        <v>34.162801000000002</v>
      </c>
      <c r="H28">
        <v>62.147709999999996</v>
      </c>
      <c r="I28">
        <v>14</v>
      </c>
      <c r="J28">
        <v>15</v>
      </c>
      <c r="K28">
        <v>12</v>
      </c>
      <c r="L28">
        <v>13.666667</v>
      </c>
      <c r="Q28" s="16"/>
      <c r="R28" s="16"/>
      <c r="V28" s="8" t="s">
        <v>369</v>
      </c>
    </row>
    <row r="29" spans="1:26" x14ac:dyDescent="0.15">
      <c r="A29" t="s">
        <v>81</v>
      </c>
      <c r="B29" t="s">
        <v>82</v>
      </c>
      <c r="C29" t="s">
        <v>83</v>
      </c>
      <c r="D29" s="2">
        <v>167.64000000000001</v>
      </c>
      <c r="E29" s="2">
        <v>83.007403710000006</v>
      </c>
      <c r="F29">
        <v>58</v>
      </c>
      <c r="G29">
        <v>67.107574999999997</v>
      </c>
      <c r="H29">
        <v>47.020727999999998</v>
      </c>
      <c r="I29">
        <v>9</v>
      </c>
      <c r="J29">
        <v>15</v>
      </c>
      <c r="K29">
        <v>11</v>
      </c>
      <c r="L29">
        <v>11.666667</v>
      </c>
    </row>
    <row r="30" spans="1:26" x14ac:dyDescent="0.15">
      <c r="A30" t="s">
        <v>84</v>
      </c>
      <c r="B30" t="s">
        <v>85</v>
      </c>
      <c r="C30" t="s">
        <v>86</v>
      </c>
      <c r="D30" s="2">
        <v>172.72</v>
      </c>
      <c r="E30" s="2">
        <v>127.91304834</v>
      </c>
      <c r="F30">
        <v>35</v>
      </c>
      <c r="G30">
        <v>40.375149999999998</v>
      </c>
      <c r="H30">
        <v>60.433909999999997</v>
      </c>
      <c r="I30">
        <v>6</v>
      </c>
      <c r="J30">
        <v>17</v>
      </c>
      <c r="K30">
        <v>15</v>
      </c>
      <c r="L30">
        <v>12.666667</v>
      </c>
      <c r="S30" s="1"/>
      <c r="T30" s="1"/>
    </row>
    <row r="31" spans="1:26" x14ac:dyDescent="0.15">
      <c r="A31" t="s">
        <v>87</v>
      </c>
      <c r="B31" t="s">
        <v>88</v>
      </c>
      <c r="C31" t="s">
        <v>89</v>
      </c>
      <c r="D31" s="2">
        <v>180.34</v>
      </c>
      <c r="E31" s="2">
        <v>65.770893650000005</v>
      </c>
      <c r="F31">
        <v>67</v>
      </c>
      <c r="G31">
        <v>64.593414999999993</v>
      </c>
      <c r="H31">
        <v>51.629022999999997</v>
      </c>
      <c r="I31">
        <v>10</v>
      </c>
      <c r="J31">
        <v>20</v>
      </c>
      <c r="K31">
        <v>17</v>
      </c>
      <c r="L31">
        <v>15.666667</v>
      </c>
    </row>
    <row r="32" spans="1:26" x14ac:dyDescent="0.15">
      <c r="A32" t="s">
        <v>90</v>
      </c>
      <c r="B32" t="s">
        <v>91</v>
      </c>
      <c r="C32" t="s">
        <v>92</v>
      </c>
      <c r="D32" s="2">
        <v>185.42000000000002</v>
      </c>
      <c r="E32" s="2">
        <v>92.532843480000011</v>
      </c>
      <c r="F32">
        <v>49</v>
      </c>
      <c r="G32">
        <v>63.933990000000001</v>
      </c>
      <c r="H32">
        <v>87.360243999999994</v>
      </c>
      <c r="I32">
        <v>5</v>
      </c>
      <c r="J32">
        <v>22</v>
      </c>
      <c r="K32">
        <v>12</v>
      </c>
      <c r="L32">
        <v>13</v>
      </c>
    </row>
    <row r="33" spans="1:25" x14ac:dyDescent="0.15">
      <c r="A33" t="s">
        <v>93</v>
      </c>
      <c r="B33" t="s">
        <v>94</v>
      </c>
      <c r="C33" t="s">
        <v>95</v>
      </c>
      <c r="D33" s="2">
        <v>175.26</v>
      </c>
      <c r="E33" s="2">
        <v>59.874192840000006</v>
      </c>
      <c r="F33">
        <v>32</v>
      </c>
      <c r="G33">
        <v>22.815483</v>
      </c>
      <c r="H33">
        <v>64.757806000000002</v>
      </c>
      <c r="I33">
        <v>13</v>
      </c>
      <c r="J33">
        <v>17</v>
      </c>
      <c r="K33">
        <v>11</v>
      </c>
      <c r="L33">
        <v>13.666667</v>
      </c>
    </row>
    <row r="34" spans="1:25" x14ac:dyDescent="0.15">
      <c r="A34" t="s">
        <v>96</v>
      </c>
      <c r="B34" t="s">
        <v>97</v>
      </c>
      <c r="C34" t="s">
        <v>98</v>
      </c>
      <c r="D34" s="2">
        <v>170.18</v>
      </c>
      <c r="E34" s="2">
        <v>50</v>
      </c>
      <c r="F34">
        <v>32</v>
      </c>
      <c r="G34">
        <v>43.911611000000001</v>
      </c>
      <c r="H34">
        <v>74.871596999999994</v>
      </c>
      <c r="I34">
        <v>5</v>
      </c>
      <c r="J34">
        <v>23</v>
      </c>
      <c r="K34">
        <v>14</v>
      </c>
      <c r="L34">
        <v>14</v>
      </c>
    </row>
    <row r="35" spans="1:25" x14ac:dyDescent="0.15">
      <c r="A35" t="s">
        <v>99</v>
      </c>
      <c r="B35" t="s">
        <v>100</v>
      </c>
      <c r="C35" t="s">
        <v>101</v>
      </c>
      <c r="D35" s="2">
        <v>167.64000000000001</v>
      </c>
      <c r="E35" s="2">
        <v>83.460996080000001</v>
      </c>
      <c r="F35">
        <v>48</v>
      </c>
      <c r="G35">
        <v>40.864635999999997</v>
      </c>
      <c r="H35">
        <v>66.413280999999998</v>
      </c>
      <c r="I35">
        <v>8</v>
      </c>
      <c r="J35">
        <v>23</v>
      </c>
      <c r="K35">
        <v>14</v>
      </c>
      <c r="L35">
        <v>15</v>
      </c>
    </row>
    <row r="36" spans="1:25" x14ac:dyDescent="0.15">
      <c r="A36" t="s">
        <v>102</v>
      </c>
      <c r="B36" t="s">
        <v>103</v>
      </c>
      <c r="C36" t="s">
        <v>104</v>
      </c>
      <c r="D36" s="2">
        <v>172.72</v>
      </c>
      <c r="E36" s="2">
        <v>57.60623099</v>
      </c>
      <c r="F36">
        <v>49</v>
      </c>
      <c r="G36">
        <v>41.130333</v>
      </c>
      <c r="H36">
        <v>61.460301000000001</v>
      </c>
      <c r="I36">
        <v>7</v>
      </c>
      <c r="J36">
        <v>22</v>
      </c>
      <c r="K36">
        <v>13</v>
      </c>
      <c r="L36">
        <v>14</v>
      </c>
    </row>
    <row r="37" spans="1:25" x14ac:dyDescent="0.15">
      <c r="A37" t="s">
        <v>105</v>
      </c>
      <c r="B37" t="s">
        <v>106</v>
      </c>
      <c r="C37" t="s">
        <v>107</v>
      </c>
      <c r="D37" s="2">
        <v>177.8</v>
      </c>
      <c r="E37" s="2">
        <v>69.399632609999998</v>
      </c>
      <c r="F37">
        <v>67</v>
      </c>
      <c r="G37">
        <v>41.825414000000002</v>
      </c>
      <c r="H37">
        <v>70.319506000000004</v>
      </c>
      <c r="I37">
        <v>11</v>
      </c>
      <c r="J37">
        <v>16</v>
      </c>
      <c r="K37">
        <v>14</v>
      </c>
      <c r="L37">
        <v>13.666667</v>
      </c>
      <c r="S37" t="s">
        <v>336</v>
      </c>
      <c r="T37" t="s">
        <v>337</v>
      </c>
      <c r="V37" t="s">
        <v>360</v>
      </c>
      <c r="Y37">
        <f>_xlfn.F.TEST(S38:S112,T38:T121)</f>
        <v>0.34297259344671377</v>
      </c>
    </row>
    <row r="38" spans="1:25" x14ac:dyDescent="0.15">
      <c r="A38" t="s">
        <v>108</v>
      </c>
      <c r="B38" t="s">
        <v>109</v>
      </c>
      <c r="C38" t="s">
        <v>110</v>
      </c>
      <c r="D38" s="2">
        <v>170.18</v>
      </c>
      <c r="E38" s="2">
        <v>55.338269140000001</v>
      </c>
      <c r="F38">
        <v>71</v>
      </c>
      <c r="G38">
        <v>60.511321000000002</v>
      </c>
      <c r="H38">
        <v>46.741736000000003</v>
      </c>
      <c r="I38">
        <v>12</v>
      </c>
      <c r="J38">
        <v>16</v>
      </c>
      <c r="K38">
        <v>16</v>
      </c>
      <c r="L38">
        <v>14.666667</v>
      </c>
      <c r="S38">
        <v>14</v>
      </c>
      <c r="T38">
        <v>17</v>
      </c>
      <c r="V38" s="15" t="s">
        <v>361</v>
      </c>
      <c r="W38" s="13"/>
      <c r="X38" s="13"/>
      <c r="Y38">
        <f>_xlfn.T.TEST(S38:S112,T38:T121,2,2)</f>
        <v>0.38323986207109251</v>
      </c>
    </row>
    <row r="39" spans="1:25" x14ac:dyDescent="0.15">
      <c r="A39" t="s">
        <v>111</v>
      </c>
      <c r="B39" t="s">
        <v>112</v>
      </c>
      <c r="C39" t="s">
        <v>113</v>
      </c>
      <c r="D39" s="2">
        <v>165.1</v>
      </c>
      <c r="E39" s="2">
        <v>126.55227123</v>
      </c>
      <c r="F39">
        <v>21</v>
      </c>
      <c r="G39">
        <v>31.082948999999999</v>
      </c>
      <c r="H39">
        <v>76.413008000000005</v>
      </c>
      <c r="I39">
        <v>8</v>
      </c>
      <c r="J39">
        <v>23</v>
      </c>
      <c r="K39">
        <v>19</v>
      </c>
      <c r="L39">
        <v>16.666667</v>
      </c>
      <c r="S39">
        <v>15</v>
      </c>
      <c r="T39">
        <v>12</v>
      </c>
      <c r="V39" s="14"/>
      <c r="W39" s="14"/>
      <c r="X39" s="14"/>
    </row>
    <row r="40" spans="1:25" x14ac:dyDescent="0.15">
      <c r="A40" t="s">
        <v>114</v>
      </c>
      <c r="B40" t="s">
        <v>115</v>
      </c>
      <c r="C40" t="s">
        <v>116</v>
      </c>
      <c r="D40" s="2">
        <v>172.72</v>
      </c>
      <c r="E40" s="2">
        <v>75.749925790000006</v>
      </c>
      <c r="F40">
        <v>66</v>
      </c>
      <c r="G40">
        <v>48.278160999999997</v>
      </c>
      <c r="H40">
        <v>43.845954999999996</v>
      </c>
      <c r="I40">
        <v>7</v>
      </c>
      <c r="J40">
        <v>20</v>
      </c>
      <c r="K40">
        <v>12</v>
      </c>
      <c r="L40">
        <v>13</v>
      </c>
      <c r="S40">
        <v>19</v>
      </c>
      <c r="T40">
        <v>17</v>
      </c>
      <c r="V40" s="5"/>
      <c r="W40" s="5"/>
      <c r="X40" s="5"/>
    </row>
    <row r="41" spans="1:25" x14ac:dyDescent="0.15">
      <c r="A41" t="s">
        <v>117</v>
      </c>
      <c r="B41" t="s">
        <v>118</v>
      </c>
      <c r="C41" t="s">
        <v>119</v>
      </c>
      <c r="D41" s="2">
        <v>177.8</v>
      </c>
      <c r="E41" s="2">
        <v>71.667594460000004</v>
      </c>
      <c r="F41">
        <v>23</v>
      </c>
      <c r="G41">
        <v>58.883291999999997</v>
      </c>
      <c r="H41">
        <v>57.293864999999997</v>
      </c>
      <c r="I41">
        <v>9</v>
      </c>
      <c r="J41">
        <v>18</v>
      </c>
      <c r="K41">
        <v>13</v>
      </c>
      <c r="L41">
        <v>13.333333</v>
      </c>
      <c r="S41">
        <v>10</v>
      </c>
      <c r="T41">
        <v>16</v>
      </c>
      <c r="V41" s="5"/>
      <c r="W41" s="5"/>
      <c r="X41" s="5"/>
    </row>
    <row r="42" spans="1:25" x14ac:dyDescent="0.15">
      <c r="A42" t="s">
        <v>120</v>
      </c>
      <c r="B42" t="s">
        <v>121</v>
      </c>
      <c r="C42" t="s">
        <v>122</v>
      </c>
      <c r="D42" s="2">
        <v>180.34</v>
      </c>
      <c r="E42" s="2">
        <v>68.946040240000002</v>
      </c>
      <c r="F42">
        <v>77</v>
      </c>
      <c r="G42">
        <v>53.734062999999999</v>
      </c>
      <c r="H42">
        <v>35.478718000000001</v>
      </c>
      <c r="I42">
        <v>7</v>
      </c>
      <c r="J42">
        <v>22</v>
      </c>
      <c r="K42">
        <v>14</v>
      </c>
      <c r="L42">
        <v>14.333333</v>
      </c>
      <c r="S42">
        <v>11</v>
      </c>
      <c r="T42">
        <v>17</v>
      </c>
      <c r="V42" s="5"/>
      <c r="W42" s="5"/>
      <c r="X42" s="5"/>
    </row>
    <row r="43" spans="1:25" x14ac:dyDescent="0.15">
      <c r="A43" t="s">
        <v>123</v>
      </c>
      <c r="B43" t="s">
        <v>124</v>
      </c>
      <c r="C43" t="s">
        <v>125</v>
      </c>
      <c r="D43" s="2">
        <v>177.8</v>
      </c>
      <c r="E43" s="2">
        <v>68.946040240000002</v>
      </c>
      <c r="F43">
        <v>45</v>
      </c>
      <c r="G43">
        <v>32.768585999999999</v>
      </c>
      <c r="H43">
        <v>77.168457000000004</v>
      </c>
      <c r="I43">
        <v>12</v>
      </c>
      <c r="J43">
        <v>22</v>
      </c>
      <c r="K43">
        <v>13</v>
      </c>
      <c r="L43">
        <v>15.666667</v>
      </c>
      <c r="S43">
        <v>16</v>
      </c>
      <c r="T43">
        <v>14</v>
      </c>
      <c r="V43" s="5"/>
      <c r="W43" s="5"/>
      <c r="X43" s="5"/>
    </row>
    <row r="44" spans="1:25" x14ac:dyDescent="0.15">
      <c r="A44" t="s">
        <v>126</v>
      </c>
      <c r="B44" t="s">
        <v>127</v>
      </c>
      <c r="C44" t="s">
        <v>128</v>
      </c>
      <c r="D44" s="2">
        <v>167.64000000000001</v>
      </c>
      <c r="E44" s="2">
        <v>90.718474000000001</v>
      </c>
      <c r="F44">
        <v>67</v>
      </c>
      <c r="G44">
        <v>36.073106000000003</v>
      </c>
      <c r="H44">
        <v>58.968834999999999</v>
      </c>
      <c r="I44">
        <v>7</v>
      </c>
      <c r="J44">
        <v>15</v>
      </c>
      <c r="K44">
        <v>15</v>
      </c>
      <c r="L44">
        <v>12.333333</v>
      </c>
      <c r="S44">
        <v>12</v>
      </c>
      <c r="T44">
        <v>17</v>
      </c>
      <c r="V44" s="5"/>
      <c r="W44" s="5"/>
      <c r="X44" s="5"/>
    </row>
    <row r="45" spans="1:25" x14ac:dyDescent="0.15">
      <c r="A45" t="s">
        <v>129</v>
      </c>
      <c r="B45" t="s">
        <v>130</v>
      </c>
      <c r="C45" t="s">
        <v>131</v>
      </c>
      <c r="D45" s="2">
        <v>162.56</v>
      </c>
      <c r="E45" s="2">
        <v>98.42954429000001</v>
      </c>
      <c r="F45">
        <v>25</v>
      </c>
      <c r="G45">
        <v>31.891946999999998</v>
      </c>
      <c r="H45">
        <v>64.829445000000007</v>
      </c>
      <c r="I45">
        <v>5</v>
      </c>
      <c r="J45">
        <v>21</v>
      </c>
      <c r="K45">
        <v>13</v>
      </c>
      <c r="L45">
        <v>13</v>
      </c>
      <c r="S45">
        <v>17</v>
      </c>
      <c r="T45">
        <v>17</v>
      </c>
      <c r="V45" s="5"/>
      <c r="W45" s="5"/>
      <c r="X45" s="5"/>
    </row>
    <row r="46" spans="1:25" x14ac:dyDescent="0.15">
      <c r="A46" t="s">
        <v>132</v>
      </c>
      <c r="B46" t="s">
        <v>133</v>
      </c>
      <c r="C46" t="s">
        <v>134</v>
      </c>
      <c r="D46" s="2">
        <v>170.18</v>
      </c>
      <c r="E46" s="2">
        <v>65.317301280000009</v>
      </c>
      <c r="F46">
        <v>41</v>
      </c>
      <c r="G46">
        <v>41.721319000000001</v>
      </c>
      <c r="H46">
        <v>72.683412000000004</v>
      </c>
      <c r="I46">
        <v>14</v>
      </c>
      <c r="J46">
        <v>21</v>
      </c>
      <c r="K46">
        <v>13</v>
      </c>
      <c r="L46">
        <v>16</v>
      </c>
      <c r="S46">
        <v>11</v>
      </c>
      <c r="T46">
        <v>11</v>
      </c>
      <c r="V46" s="5"/>
      <c r="W46" s="5"/>
      <c r="X46" s="5"/>
    </row>
    <row r="47" spans="1:25" x14ac:dyDescent="0.15">
      <c r="A47" t="s">
        <v>135</v>
      </c>
      <c r="B47" t="s">
        <v>136</v>
      </c>
      <c r="C47" t="s">
        <v>137</v>
      </c>
      <c r="D47" s="2">
        <v>175.26</v>
      </c>
      <c r="E47" s="2">
        <v>81.193034230000009</v>
      </c>
      <c r="F47">
        <v>34</v>
      </c>
      <c r="G47">
        <v>63.213090000000001</v>
      </c>
      <c r="H47">
        <v>55.620230999999997</v>
      </c>
      <c r="I47">
        <v>14</v>
      </c>
      <c r="J47">
        <v>19</v>
      </c>
      <c r="K47">
        <v>18</v>
      </c>
      <c r="L47">
        <v>17</v>
      </c>
      <c r="S47">
        <v>16</v>
      </c>
      <c r="T47">
        <v>12</v>
      </c>
      <c r="V47" s="13"/>
      <c r="W47" s="13"/>
      <c r="X47" s="13"/>
    </row>
    <row r="48" spans="1:25" x14ac:dyDescent="0.15">
      <c r="A48" t="s">
        <v>138</v>
      </c>
      <c r="B48" t="s">
        <v>139</v>
      </c>
      <c r="C48" t="s">
        <v>140</v>
      </c>
      <c r="D48" s="2">
        <v>170.18</v>
      </c>
      <c r="E48" s="2">
        <v>77.564295270000002</v>
      </c>
      <c r="F48">
        <v>79</v>
      </c>
      <c r="G48">
        <v>53.009138999999998</v>
      </c>
      <c r="H48">
        <v>37.625160000000001</v>
      </c>
      <c r="I48">
        <v>9</v>
      </c>
      <c r="J48">
        <v>18</v>
      </c>
      <c r="K48">
        <v>12</v>
      </c>
      <c r="L48">
        <v>13</v>
      </c>
      <c r="S48">
        <v>15</v>
      </c>
      <c r="T48">
        <v>19</v>
      </c>
    </row>
    <row r="49" spans="1:20" x14ac:dyDescent="0.15">
      <c r="A49" t="s">
        <v>141</v>
      </c>
      <c r="B49" t="s">
        <v>142</v>
      </c>
      <c r="C49" t="s">
        <v>143</v>
      </c>
      <c r="D49" s="2">
        <v>167.64000000000001</v>
      </c>
      <c r="E49" s="2">
        <v>94.347212960000007</v>
      </c>
      <c r="F49">
        <v>32</v>
      </c>
      <c r="G49">
        <v>60.226840000000003</v>
      </c>
      <c r="H49">
        <v>78.080724000000004</v>
      </c>
      <c r="I49">
        <v>7</v>
      </c>
      <c r="J49">
        <v>16</v>
      </c>
      <c r="K49">
        <v>15</v>
      </c>
      <c r="L49">
        <v>12.666667</v>
      </c>
      <c r="S49">
        <v>11</v>
      </c>
      <c r="T49">
        <v>10</v>
      </c>
    </row>
    <row r="50" spans="1:20" x14ac:dyDescent="0.15">
      <c r="A50" t="s">
        <v>144</v>
      </c>
      <c r="B50" t="s">
        <v>145</v>
      </c>
      <c r="C50" t="s">
        <v>146</v>
      </c>
      <c r="D50" s="2">
        <v>177.8</v>
      </c>
      <c r="E50" s="2">
        <v>84.368180820000006</v>
      </c>
      <c r="F50">
        <v>25</v>
      </c>
      <c r="G50">
        <v>46.404361999999999</v>
      </c>
      <c r="H50">
        <v>53.794035999999998</v>
      </c>
      <c r="I50">
        <v>12</v>
      </c>
      <c r="J50">
        <v>15</v>
      </c>
      <c r="K50">
        <v>12</v>
      </c>
      <c r="L50">
        <v>13</v>
      </c>
      <c r="S50">
        <v>15</v>
      </c>
      <c r="T50">
        <v>11</v>
      </c>
    </row>
    <row r="51" spans="1:20" x14ac:dyDescent="0.15">
      <c r="A51" t="s">
        <v>147</v>
      </c>
      <c r="B51" t="s">
        <v>148</v>
      </c>
      <c r="C51" t="s">
        <v>149</v>
      </c>
      <c r="D51" s="2">
        <v>177.8</v>
      </c>
      <c r="E51" s="2">
        <v>79.832257120000008</v>
      </c>
      <c r="F51">
        <v>67</v>
      </c>
      <c r="G51">
        <v>35.760285000000003</v>
      </c>
      <c r="H51">
        <v>60.248187999999999</v>
      </c>
      <c r="I51">
        <v>11</v>
      </c>
      <c r="J51">
        <v>18</v>
      </c>
      <c r="K51">
        <v>16</v>
      </c>
      <c r="L51">
        <v>15</v>
      </c>
      <c r="S51">
        <v>14</v>
      </c>
      <c r="T51">
        <v>17</v>
      </c>
    </row>
    <row r="52" spans="1:20" x14ac:dyDescent="0.15">
      <c r="A52" t="s">
        <v>150</v>
      </c>
      <c r="B52" t="s">
        <v>151</v>
      </c>
      <c r="C52" t="s">
        <v>152</v>
      </c>
      <c r="D52" s="2">
        <v>175.26</v>
      </c>
      <c r="E52" s="2">
        <v>65.770893650000005</v>
      </c>
      <c r="F52">
        <v>72</v>
      </c>
      <c r="G52">
        <v>57.718023000000002</v>
      </c>
      <c r="H52">
        <v>79.439949999999996</v>
      </c>
      <c r="I52">
        <v>10</v>
      </c>
      <c r="J52">
        <v>21</v>
      </c>
      <c r="K52">
        <v>13</v>
      </c>
      <c r="L52">
        <v>14.666667</v>
      </c>
      <c r="S52">
        <v>12</v>
      </c>
      <c r="T52">
        <v>10</v>
      </c>
    </row>
    <row r="53" spans="1:20" x14ac:dyDescent="0.15">
      <c r="A53" t="s">
        <v>153</v>
      </c>
      <c r="B53" t="s">
        <v>154</v>
      </c>
      <c r="C53" t="s">
        <v>155</v>
      </c>
      <c r="D53" s="2">
        <v>175.26</v>
      </c>
      <c r="E53" s="2">
        <v>87.543327410000003</v>
      </c>
      <c r="F53">
        <v>32</v>
      </c>
      <c r="G53">
        <v>46.067113999999997</v>
      </c>
      <c r="H53">
        <v>72.160670999999994</v>
      </c>
      <c r="I53">
        <v>12</v>
      </c>
      <c r="J53">
        <v>15</v>
      </c>
      <c r="K53">
        <v>10</v>
      </c>
      <c r="L53">
        <v>12.333333</v>
      </c>
      <c r="S53">
        <v>14</v>
      </c>
      <c r="T53">
        <v>12</v>
      </c>
    </row>
    <row r="54" spans="1:20" x14ac:dyDescent="0.15">
      <c r="A54" t="s">
        <v>156</v>
      </c>
      <c r="B54" t="s">
        <v>157</v>
      </c>
      <c r="C54" t="s">
        <v>158</v>
      </c>
      <c r="D54" s="2">
        <v>154.94</v>
      </c>
      <c r="E54" s="2">
        <v>104.32624510000001</v>
      </c>
      <c r="F54">
        <v>32</v>
      </c>
      <c r="G54">
        <v>56.97166</v>
      </c>
      <c r="H54">
        <v>35.021351000000003</v>
      </c>
      <c r="I54">
        <v>14</v>
      </c>
      <c r="J54">
        <v>18</v>
      </c>
      <c r="K54">
        <v>11</v>
      </c>
      <c r="L54">
        <v>14.333333</v>
      </c>
      <c r="S54">
        <v>13</v>
      </c>
      <c r="T54">
        <v>17</v>
      </c>
    </row>
    <row r="55" spans="1:20" x14ac:dyDescent="0.15">
      <c r="A55" t="s">
        <v>159</v>
      </c>
      <c r="B55" t="s">
        <v>160</v>
      </c>
      <c r="C55" t="s">
        <v>161</v>
      </c>
      <c r="D55" s="2">
        <v>177.8</v>
      </c>
      <c r="E55" s="2">
        <v>115.21246198</v>
      </c>
      <c r="F55">
        <v>32</v>
      </c>
      <c r="G55">
        <v>48.895415999999997</v>
      </c>
      <c r="H55">
        <v>58.214284999999997</v>
      </c>
      <c r="I55">
        <v>13</v>
      </c>
      <c r="J55">
        <v>15</v>
      </c>
      <c r="K55">
        <v>18</v>
      </c>
      <c r="L55">
        <v>15.333333</v>
      </c>
      <c r="S55">
        <v>15</v>
      </c>
      <c r="T55">
        <v>12</v>
      </c>
    </row>
    <row r="56" spans="1:20" x14ac:dyDescent="0.15">
      <c r="A56" t="s">
        <v>162</v>
      </c>
      <c r="B56" t="s">
        <v>163</v>
      </c>
      <c r="C56" t="s">
        <v>164</v>
      </c>
      <c r="D56" s="2">
        <v>175.26</v>
      </c>
      <c r="E56" s="2">
        <v>88.450512150000009</v>
      </c>
      <c r="F56">
        <v>47</v>
      </c>
      <c r="G56">
        <v>46.712027999999997</v>
      </c>
      <c r="H56">
        <v>62.321781000000001</v>
      </c>
      <c r="I56">
        <v>13</v>
      </c>
      <c r="J56">
        <v>21</v>
      </c>
      <c r="K56">
        <v>19</v>
      </c>
      <c r="L56">
        <v>17.666667</v>
      </c>
      <c r="S56">
        <v>18</v>
      </c>
      <c r="T56">
        <v>11</v>
      </c>
    </row>
    <row r="57" spans="1:20" x14ac:dyDescent="0.15">
      <c r="A57" t="s">
        <v>165</v>
      </c>
      <c r="B57" t="s">
        <v>166</v>
      </c>
      <c r="C57" t="s">
        <v>167</v>
      </c>
      <c r="D57" s="2">
        <v>185.42000000000002</v>
      </c>
      <c r="E57" s="2">
        <v>71.214002090000008</v>
      </c>
      <c r="F57">
        <v>43</v>
      </c>
      <c r="G57">
        <v>43.617373999999998</v>
      </c>
      <c r="H57">
        <v>60.657874999999997</v>
      </c>
      <c r="I57">
        <v>12</v>
      </c>
      <c r="J57">
        <v>15</v>
      </c>
      <c r="K57">
        <v>11</v>
      </c>
      <c r="L57">
        <v>12.666667</v>
      </c>
      <c r="S57">
        <v>12</v>
      </c>
      <c r="T57">
        <v>14</v>
      </c>
    </row>
    <row r="58" spans="1:20" x14ac:dyDescent="0.15">
      <c r="A58" t="s">
        <v>168</v>
      </c>
      <c r="B58" t="s">
        <v>169</v>
      </c>
      <c r="C58" t="s">
        <v>170</v>
      </c>
      <c r="D58" s="2">
        <v>172.72</v>
      </c>
      <c r="E58" s="2">
        <v>93.440028220000002</v>
      </c>
      <c r="F58">
        <v>25</v>
      </c>
      <c r="G58">
        <v>40.121015999999997</v>
      </c>
      <c r="H58">
        <v>63.825861000000003</v>
      </c>
      <c r="I58">
        <v>8</v>
      </c>
      <c r="J58">
        <v>21</v>
      </c>
      <c r="K58">
        <v>14</v>
      </c>
      <c r="L58">
        <v>14.333333</v>
      </c>
      <c r="S58">
        <v>15</v>
      </c>
      <c r="T58">
        <v>13</v>
      </c>
    </row>
    <row r="59" spans="1:20" x14ac:dyDescent="0.15">
      <c r="A59" t="s">
        <v>171</v>
      </c>
      <c r="B59" t="s">
        <v>172</v>
      </c>
      <c r="C59" t="s">
        <v>173</v>
      </c>
      <c r="D59" s="2">
        <v>177.8</v>
      </c>
      <c r="E59" s="2">
        <v>102.51187562000001</v>
      </c>
      <c r="F59">
        <v>62</v>
      </c>
      <c r="G59">
        <v>33.765472000000003</v>
      </c>
      <c r="H59">
        <v>55.339570999999999</v>
      </c>
      <c r="I59">
        <v>6</v>
      </c>
      <c r="J59">
        <v>23</v>
      </c>
      <c r="K59">
        <v>18</v>
      </c>
      <c r="L59">
        <v>15.666667</v>
      </c>
      <c r="S59">
        <v>16</v>
      </c>
      <c r="T59">
        <v>14</v>
      </c>
    </row>
    <row r="60" spans="1:20" x14ac:dyDescent="0.15">
      <c r="A60" t="s">
        <v>174</v>
      </c>
      <c r="B60" t="s">
        <v>175</v>
      </c>
      <c r="C60" t="s">
        <v>176</v>
      </c>
      <c r="D60" s="2">
        <v>167.64000000000001</v>
      </c>
      <c r="E60" s="2">
        <v>89.811289260000009</v>
      </c>
      <c r="F60">
        <v>71</v>
      </c>
      <c r="G60">
        <v>39.511904999999999</v>
      </c>
      <c r="H60">
        <v>48.636389999999999</v>
      </c>
      <c r="I60">
        <v>11</v>
      </c>
      <c r="J60">
        <v>21</v>
      </c>
      <c r="K60">
        <v>11</v>
      </c>
      <c r="L60">
        <v>14.333333</v>
      </c>
      <c r="S60">
        <v>13</v>
      </c>
      <c r="T60">
        <v>16</v>
      </c>
    </row>
    <row r="61" spans="1:20" x14ac:dyDescent="0.15">
      <c r="A61" t="s">
        <v>177</v>
      </c>
      <c r="B61" t="s">
        <v>178</v>
      </c>
      <c r="C61" t="s">
        <v>179</v>
      </c>
      <c r="D61" s="2">
        <v>144.78</v>
      </c>
      <c r="E61" s="2">
        <v>98.42954429000001</v>
      </c>
      <c r="F61">
        <v>45</v>
      </c>
      <c r="G61">
        <v>59.189489000000002</v>
      </c>
      <c r="H61">
        <v>42.100948000000002</v>
      </c>
      <c r="I61">
        <v>11</v>
      </c>
      <c r="J61">
        <v>23</v>
      </c>
      <c r="K61">
        <v>13</v>
      </c>
      <c r="L61">
        <v>15.666667</v>
      </c>
      <c r="S61">
        <v>10</v>
      </c>
      <c r="T61">
        <v>19</v>
      </c>
    </row>
    <row r="62" spans="1:20" x14ac:dyDescent="0.15">
      <c r="A62" t="s">
        <v>180</v>
      </c>
      <c r="B62" t="s">
        <v>181</v>
      </c>
      <c r="C62" t="s">
        <v>182</v>
      </c>
      <c r="D62" s="2">
        <v>172.72</v>
      </c>
      <c r="E62" s="2">
        <v>80.285849490000004</v>
      </c>
      <c r="F62">
        <v>32</v>
      </c>
      <c r="G62">
        <v>40.592303999999999</v>
      </c>
      <c r="H62">
        <v>72.673913999999996</v>
      </c>
      <c r="I62">
        <v>5</v>
      </c>
      <c r="J62">
        <v>17</v>
      </c>
      <c r="K62">
        <v>19</v>
      </c>
      <c r="L62">
        <v>13.666667</v>
      </c>
      <c r="S62">
        <v>11</v>
      </c>
      <c r="T62">
        <v>13</v>
      </c>
    </row>
    <row r="63" spans="1:20" x14ac:dyDescent="0.15">
      <c r="A63" t="s">
        <v>183</v>
      </c>
      <c r="B63" t="s">
        <v>184</v>
      </c>
      <c r="C63" t="s">
        <v>185</v>
      </c>
      <c r="D63" s="2">
        <v>160.02000000000001</v>
      </c>
      <c r="E63" s="2">
        <v>67.585263130000001</v>
      </c>
      <c r="F63">
        <v>40</v>
      </c>
      <c r="G63">
        <v>62.763944000000002</v>
      </c>
      <c r="H63">
        <v>53.839691000000002</v>
      </c>
      <c r="I63">
        <v>12</v>
      </c>
      <c r="J63">
        <v>22</v>
      </c>
      <c r="K63">
        <v>16</v>
      </c>
      <c r="L63">
        <v>16.666667</v>
      </c>
      <c r="S63">
        <v>18</v>
      </c>
      <c r="T63">
        <v>13</v>
      </c>
    </row>
    <row r="64" spans="1:20" x14ac:dyDescent="0.15">
      <c r="A64" t="s">
        <v>186</v>
      </c>
      <c r="B64" t="s">
        <v>187</v>
      </c>
      <c r="C64" t="s">
        <v>188</v>
      </c>
      <c r="D64" s="2">
        <v>175.26</v>
      </c>
      <c r="E64" s="2">
        <v>85.275365559999997</v>
      </c>
      <c r="F64">
        <v>32</v>
      </c>
      <c r="G64">
        <v>65.115707999999998</v>
      </c>
      <c r="H64">
        <v>76.137549000000007</v>
      </c>
      <c r="I64">
        <v>8</v>
      </c>
      <c r="J64">
        <v>19</v>
      </c>
      <c r="K64">
        <v>12</v>
      </c>
      <c r="L64">
        <v>13</v>
      </c>
      <c r="S64">
        <v>19</v>
      </c>
      <c r="T64">
        <v>13</v>
      </c>
    </row>
    <row r="65" spans="1:20" x14ac:dyDescent="0.15">
      <c r="A65" t="s">
        <v>189</v>
      </c>
      <c r="B65" t="s">
        <v>190</v>
      </c>
      <c r="C65" t="s">
        <v>191</v>
      </c>
      <c r="D65" s="2">
        <v>160.02000000000001</v>
      </c>
      <c r="E65" s="2">
        <v>86.182550300000003</v>
      </c>
      <c r="F65">
        <v>46</v>
      </c>
      <c r="G65">
        <v>51.128903000000001</v>
      </c>
      <c r="H65">
        <v>79.035864000000004</v>
      </c>
      <c r="I65">
        <v>14</v>
      </c>
      <c r="J65">
        <v>24</v>
      </c>
      <c r="K65">
        <v>17</v>
      </c>
      <c r="L65">
        <v>18.333333</v>
      </c>
      <c r="S65">
        <v>11</v>
      </c>
      <c r="T65">
        <v>12</v>
      </c>
    </row>
    <row r="66" spans="1:20" x14ac:dyDescent="0.15">
      <c r="A66" t="s">
        <v>192</v>
      </c>
      <c r="B66" t="s">
        <v>193</v>
      </c>
      <c r="C66" t="s">
        <v>194</v>
      </c>
      <c r="D66" s="2">
        <v>187.96</v>
      </c>
      <c r="E66" s="2">
        <v>88.904104520000004</v>
      </c>
      <c r="F66">
        <v>32</v>
      </c>
      <c r="G66">
        <v>56.443207000000001</v>
      </c>
      <c r="H66">
        <v>58.587752999999999</v>
      </c>
      <c r="I66">
        <v>8</v>
      </c>
      <c r="J66">
        <v>16</v>
      </c>
      <c r="K66">
        <v>12</v>
      </c>
      <c r="L66">
        <v>12</v>
      </c>
      <c r="S66">
        <v>14</v>
      </c>
      <c r="T66">
        <v>18</v>
      </c>
    </row>
    <row r="67" spans="1:20" x14ac:dyDescent="0.15">
      <c r="A67" t="s">
        <v>195</v>
      </c>
      <c r="B67" t="s">
        <v>196</v>
      </c>
      <c r="C67" t="s">
        <v>197</v>
      </c>
      <c r="D67" s="2">
        <v>180.34</v>
      </c>
      <c r="E67" s="2">
        <v>65.770893650000005</v>
      </c>
      <c r="F67">
        <v>32</v>
      </c>
      <c r="G67">
        <v>50.058624000000002</v>
      </c>
      <c r="H67">
        <v>58.846815999999997</v>
      </c>
      <c r="I67">
        <v>5</v>
      </c>
      <c r="J67">
        <v>20</v>
      </c>
      <c r="K67">
        <v>12</v>
      </c>
      <c r="L67">
        <v>12.333333</v>
      </c>
      <c r="S67">
        <v>15</v>
      </c>
      <c r="T67">
        <v>11</v>
      </c>
    </row>
    <row r="68" spans="1:20" x14ac:dyDescent="0.15">
      <c r="A68" t="s">
        <v>198</v>
      </c>
      <c r="B68" t="s">
        <v>199</v>
      </c>
      <c r="C68" t="s">
        <v>200</v>
      </c>
      <c r="D68" s="2">
        <v>175.26</v>
      </c>
      <c r="E68" s="2">
        <v>70.760409719999998</v>
      </c>
      <c r="F68">
        <v>32</v>
      </c>
      <c r="G68">
        <v>50.943206000000004</v>
      </c>
      <c r="H68">
        <v>85.926238999999995</v>
      </c>
      <c r="I68">
        <v>9</v>
      </c>
      <c r="J68">
        <v>16</v>
      </c>
      <c r="K68">
        <v>15</v>
      </c>
      <c r="L68">
        <v>13.333333</v>
      </c>
      <c r="S68">
        <v>12</v>
      </c>
      <c r="T68">
        <v>13</v>
      </c>
    </row>
    <row r="69" spans="1:20" x14ac:dyDescent="0.15">
      <c r="A69" t="s">
        <v>201</v>
      </c>
      <c r="B69" t="s">
        <v>202</v>
      </c>
      <c r="C69" t="s">
        <v>203</v>
      </c>
      <c r="D69" s="2">
        <v>172.72</v>
      </c>
      <c r="E69" s="2">
        <v>105.68702221000001</v>
      </c>
      <c r="F69">
        <v>27</v>
      </c>
      <c r="G69">
        <v>65.896657000000005</v>
      </c>
      <c r="H69">
        <v>63.098035000000003</v>
      </c>
      <c r="I69">
        <v>6</v>
      </c>
      <c r="J69">
        <v>19</v>
      </c>
      <c r="K69">
        <v>16</v>
      </c>
      <c r="L69">
        <v>13.666667</v>
      </c>
      <c r="S69">
        <v>18</v>
      </c>
      <c r="T69">
        <v>19</v>
      </c>
    </row>
    <row r="70" spans="1:20" x14ac:dyDescent="0.15">
      <c r="A70" t="s">
        <v>204</v>
      </c>
      <c r="B70" t="s">
        <v>205</v>
      </c>
      <c r="C70" t="s">
        <v>206</v>
      </c>
      <c r="D70" s="2">
        <v>185.42000000000002</v>
      </c>
      <c r="E70" s="2">
        <v>85.728957930000007</v>
      </c>
      <c r="F70">
        <v>43</v>
      </c>
      <c r="G70">
        <v>59.588678000000002</v>
      </c>
      <c r="H70">
        <v>64.242712999999995</v>
      </c>
      <c r="I70">
        <v>5</v>
      </c>
      <c r="J70">
        <v>17</v>
      </c>
      <c r="K70">
        <v>12</v>
      </c>
      <c r="L70">
        <v>11.333333</v>
      </c>
      <c r="S70">
        <v>19</v>
      </c>
      <c r="T70">
        <v>16</v>
      </c>
    </row>
    <row r="71" spans="1:20" x14ac:dyDescent="0.15">
      <c r="A71" t="s">
        <v>207</v>
      </c>
      <c r="B71" t="s">
        <v>208</v>
      </c>
      <c r="C71" t="s">
        <v>209</v>
      </c>
      <c r="D71" s="2">
        <v>160.02000000000001</v>
      </c>
      <c r="E71" s="2">
        <v>101.60469088000001</v>
      </c>
      <c r="F71">
        <v>57</v>
      </c>
      <c r="G71">
        <v>79.609170000000006</v>
      </c>
      <c r="H71">
        <v>70.860230000000001</v>
      </c>
      <c r="I71">
        <v>6</v>
      </c>
      <c r="J71">
        <v>15</v>
      </c>
      <c r="K71">
        <v>14</v>
      </c>
      <c r="L71">
        <v>11.666667</v>
      </c>
      <c r="S71">
        <v>19</v>
      </c>
      <c r="T71">
        <v>12</v>
      </c>
    </row>
    <row r="72" spans="1:20" x14ac:dyDescent="0.15">
      <c r="A72" t="s">
        <v>210</v>
      </c>
      <c r="B72" t="s">
        <v>211</v>
      </c>
      <c r="C72" t="s">
        <v>212</v>
      </c>
      <c r="D72" s="2">
        <v>170.18</v>
      </c>
      <c r="E72" s="2">
        <v>68.038855499999997</v>
      </c>
      <c r="F72">
        <v>35</v>
      </c>
      <c r="G72">
        <v>52.440868000000002</v>
      </c>
      <c r="H72">
        <v>55.910545999999997</v>
      </c>
      <c r="I72">
        <v>14</v>
      </c>
      <c r="J72">
        <v>23</v>
      </c>
      <c r="K72">
        <v>19</v>
      </c>
      <c r="L72">
        <v>18.666667</v>
      </c>
      <c r="S72">
        <v>10</v>
      </c>
      <c r="T72">
        <v>17</v>
      </c>
    </row>
    <row r="73" spans="1:20" x14ac:dyDescent="0.15">
      <c r="A73" t="s">
        <v>213</v>
      </c>
      <c r="B73" t="s">
        <v>214</v>
      </c>
      <c r="C73" t="s">
        <v>215</v>
      </c>
      <c r="D73" s="2">
        <v>147.32</v>
      </c>
      <c r="E73" s="2">
        <v>95.254397699999998</v>
      </c>
      <c r="F73">
        <v>33</v>
      </c>
      <c r="G73">
        <v>58.260694000000001</v>
      </c>
      <c r="H73">
        <v>81.020588000000004</v>
      </c>
      <c r="I73">
        <v>12</v>
      </c>
      <c r="J73">
        <v>24</v>
      </c>
      <c r="K73">
        <v>18</v>
      </c>
      <c r="L73">
        <v>18</v>
      </c>
      <c r="S73">
        <v>15</v>
      </c>
      <c r="T73">
        <v>12</v>
      </c>
    </row>
    <row r="74" spans="1:20" x14ac:dyDescent="0.15">
      <c r="A74" t="s">
        <v>216</v>
      </c>
      <c r="B74" t="s">
        <v>217</v>
      </c>
      <c r="C74" t="s">
        <v>218</v>
      </c>
      <c r="D74" s="2">
        <v>162.56</v>
      </c>
      <c r="E74" s="2">
        <v>65.317301280000009</v>
      </c>
      <c r="F74">
        <v>31</v>
      </c>
      <c r="G74">
        <v>34.200839999999999</v>
      </c>
      <c r="H74">
        <v>44.689906999999998</v>
      </c>
      <c r="I74">
        <v>14</v>
      </c>
      <c r="J74">
        <v>23</v>
      </c>
      <c r="K74">
        <v>19</v>
      </c>
      <c r="L74">
        <v>18.666667</v>
      </c>
      <c r="S74">
        <v>11</v>
      </c>
      <c r="T74">
        <v>12</v>
      </c>
    </row>
    <row r="75" spans="1:20" x14ac:dyDescent="0.15">
      <c r="A75" t="s">
        <v>219</v>
      </c>
      <c r="B75" t="s">
        <v>220</v>
      </c>
      <c r="C75" t="s">
        <v>221</v>
      </c>
      <c r="D75" s="2">
        <v>175.26</v>
      </c>
      <c r="E75" s="2">
        <v>90.264881630000005</v>
      </c>
      <c r="F75">
        <v>57</v>
      </c>
      <c r="G75">
        <v>33.358384999999998</v>
      </c>
      <c r="H75">
        <v>62.557568000000003</v>
      </c>
      <c r="I75">
        <v>10</v>
      </c>
      <c r="J75">
        <v>15</v>
      </c>
      <c r="K75">
        <v>10</v>
      </c>
      <c r="L75">
        <v>11.666667</v>
      </c>
      <c r="S75">
        <v>11</v>
      </c>
      <c r="T75">
        <v>16</v>
      </c>
    </row>
    <row r="76" spans="1:20" x14ac:dyDescent="0.15">
      <c r="A76" t="s">
        <v>222</v>
      </c>
      <c r="B76" t="s">
        <v>223</v>
      </c>
      <c r="C76" t="s">
        <v>224</v>
      </c>
      <c r="D76" s="2">
        <v>167.64000000000001</v>
      </c>
      <c r="E76" s="2">
        <v>87.543327410000003</v>
      </c>
      <c r="F76">
        <v>32</v>
      </c>
      <c r="G76">
        <v>53.907473000000003</v>
      </c>
      <c r="H76">
        <v>60.014952000000001</v>
      </c>
      <c r="I76">
        <v>6</v>
      </c>
      <c r="J76">
        <v>20</v>
      </c>
      <c r="K76">
        <v>13</v>
      </c>
      <c r="L76">
        <v>13</v>
      </c>
      <c r="S76">
        <v>12</v>
      </c>
      <c r="T76">
        <v>14</v>
      </c>
    </row>
    <row r="77" spans="1:20" x14ac:dyDescent="0.15">
      <c r="A77" t="s">
        <v>225</v>
      </c>
      <c r="B77" t="s">
        <v>226</v>
      </c>
      <c r="C77" t="s">
        <v>227</v>
      </c>
      <c r="D77" s="2">
        <v>172.72</v>
      </c>
      <c r="E77" s="2">
        <v>99.79032140000001</v>
      </c>
      <c r="F77">
        <v>32</v>
      </c>
      <c r="G77">
        <v>50.082849000000003</v>
      </c>
      <c r="H77">
        <v>53.723021000000003</v>
      </c>
      <c r="I77">
        <v>14</v>
      </c>
      <c r="J77">
        <v>23</v>
      </c>
      <c r="K77">
        <v>19</v>
      </c>
      <c r="L77">
        <v>18.666667</v>
      </c>
      <c r="S77">
        <v>10</v>
      </c>
      <c r="T77">
        <v>19</v>
      </c>
    </row>
    <row r="78" spans="1:20" x14ac:dyDescent="0.15">
      <c r="A78" t="s">
        <v>228</v>
      </c>
      <c r="B78" t="s">
        <v>229</v>
      </c>
      <c r="C78" t="s">
        <v>230</v>
      </c>
      <c r="D78" s="2">
        <v>165.1</v>
      </c>
      <c r="E78" s="2">
        <v>91.17206637000001</v>
      </c>
      <c r="F78">
        <v>75</v>
      </c>
      <c r="G78">
        <v>50.826642999999997</v>
      </c>
      <c r="H78">
        <v>66.167861000000002</v>
      </c>
      <c r="I78">
        <v>13</v>
      </c>
      <c r="J78">
        <v>24</v>
      </c>
      <c r="K78">
        <v>14</v>
      </c>
      <c r="L78">
        <v>17</v>
      </c>
      <c r="S78">
        <v>19</v>
      </c>
      <c r="T78">
        <v>10</v>
      </c>
    </row>
    <row r="79" spans="1:20" x14ac:dyDescent="0.15">
      <c r="A79" t="s">
        <v>231</v>
      </c>
      <c r="B79" t="s">
        <v>232</v>
      </c>
      <c r="C79" t="s">
        <v>233</v>
      </c>
      <c r="D79" s="2">
        <v>172.72</v>
      </c>
      <c r="E79" s="2">
        <v>51.255937810000006</v>
      </c>
      <c r="F79">
        <v>32</v>
      </c>
      <c r="G79">
        <v>52.463576000000003</v>
      </c>
      <c r="H79">
        <v>67.704088999999996</v>
      </c>
      <c r="I79">
        <v>10</v>
      </c>
      <c r="J79">
        <v>15</v>
      </c>
      <c r="K79">
        <v>10</v>
      </c>
      <c r="L79">
        <v>11.666667</v>
      </c>
      <c r="S79">
        <v>17</v>
      </c>
      <c r="T79">
        <v>13</v>
      </c>
    </row>
    <row r="80" spans="1:20" x14ac:dyDescent="0.15">
      <c r="A80" t="s">
        <v>234</v>
      </c>
      <c r="B80" t="s">
        <v>235</v>
      </c>
      <c r="C80" t="s">
        <v>236</v>
      </c>
      <c r="D80" s="2">
        <v>190.5</v>
      </c>
      <c r="E80" s="2">
        <v>76.657110529999997</v>
      </c>
      <c r="F80">
        <v>35</v>
      </c>
      <c r="G80">
        <v>28.571655</v>
      </c>
      <c r="H80">
        <v>75.334412999999998</v>
      </c>
      <c r="I80">
        <v>5</v>
      </c>
      <c r="J80">
        <v>23</v>
      </c>
      <c r="K80">
        <v>15</v>
      </c>
      <c r="L80">
        <v>14.333333</v>
      </c>
      <c r="S80">
        <v>15</v>
      </c>
      <c r="T80">
        <v>14</v>
      </c>
    </row>
    <row r="81" spans="1:20" x14ac:dyDescent="0.15">
      <c r="A81" t="s">
        <v>237</v>
      </c>
      <c r="B81" t="s">
        <v>238</v>
      </c>
      <c r="C81" t="s">
        <v>239</v>
      </c>
      <c r="D81" s="2">
        <v>172.72</v>
      </c>
      <c r="E81" s="2">
        <v>71.667594460000004</v>
      </c>
      <c r="F81">
        <v>44</v>
      </c>
      <c r="G81">
        <v>42.041415000000001</v>
      </c>
      <c r="H81">
        <v>68.901362000000006</v>
      </c>
      <c r="I81">
        <v>14</v>
      </c>
      <c r="J81">
        <v>21</v>
      </c>
      <c r="K81">
        <v>11</v>
      </c>
      <c r="L81">
        <v>15.333333</v>
      </c>
      <c r="S81">
        <v>15</v>
      </c>
      <c r="T81">
        <v>12</v>
      </c>
    </row>
    <row r="82" spans="1:20" x14ac:dyDescent="0.15">
      <c r="A82" t="s">
        <v>240</v>
      </c>
      <c r="B82" t="s">
        <v>241</v>
      </c>
      <c r="C82" t="s">
        <v>242</v>
      </c>
      <c r="D82" s="2">
        <v>170.18</v>
      </c>
      <c r="E82" s="2">
        <v>80.285849490000004</v>
      </c>
      <c r="F82">
        <v>54</v>
      </c>
      <c r="G82">
        <v>44.532069</v>
      </c>
      <c r="H82">
        <v>62.860688000000003</v>
      </c>
      <c r="I82">
        <v>12</v>
      </c>
      <c r="J82">
        <v>24</v>
      </c>
      <c r="K82">
        <v>12</v>
      </c>
      <c r="L82">
        <v>16</v>
      </c>
      <c r="S82">
        <v>10</v>
      </c>
      <c r="T82">
        <v>16</v>
      </c>
    </row>
    <row r="83" spans="1:20" x14ac:dyDescent="0.15">
      <c r="A83" t="s">
        <v>243</v>
      </c>
      <c r="B83" t="s">
        <v>244</v>
      </c>
      <c r="C83" t="s">
        <v>245</v>
      </c>
      <c r="D83" s="2">
        <v>167.64000000000001</v>
      </c>
      <c r="E83" s="2">
        <v>71.667594460000004</v>
      </c>
      <c r="F83">
        <v>32</v>
      </c>
      <c r="G83">
        <v>45.068669999999997</v>
      </c>
      <c r="H83">
        <v>48.443657000000002</v>
      </c>
      <c r="I83">
        <v>11</v>
      </c>
      <c r="J83">
        <v>19</v>
      </c>
      <c r="K83">
        <v>11</v>
      </c>
      <c r="L83">
        <v>13.666667</v>
      </c>
      <c r="S83">
        <v>11</v>
      </c>
      <c r="T83">
        <v>17</v>
      </c>
    </row>
    <row r="84" spans="1:20" x14ac:dyDescent="0.15">
      <c r="A84" t="s">
        <v>246</v>
      </c>
      <c r="B84" t="s">
        <v>247</v>
      </c>
      <c r="C84" t="s">
        <v>248</v>
      </c>
      <c r="D84" s="2">
        <v>177.8</v>
      </c>
      <c r="E84" s="2">
        <v>86.636142669999998</v>
      </c>
      <c r="F84">
        <v>46</v>
      </c>
      <c r="G84">
        <v>38.765951999999999</v>
      </c>
      <c r="H84">
        <v>80.187061</v>
      </c>
      <c r="I84">
        <v>7</v>
      </c>
      <c r="J84">
        <v>24</v>
      </c>
      <c r="K84">
        <v>16</v>
      </c>
      <c r="L84">
        <v>15.666667</v>
      </c>
      <c r="S84">
        <v>13</v>
      </c>
      <c r="T84">
        <v>16</v>
      </c>
    </row>
    <row r="85" spans="1:20" x14ac:dyDescent="0.15">
      <c r="A85" t="s">
        <v>249</v>
      </c>
      <c r="B85" t="s">
        <v>250</v>
      </c>
      <c r="C85" t="s">
        <v>251</v>
      </c>
      <c r="D85" s="2">
        <v>177.8</v>
      </c>
      <c r="E85" s="2">
        <v>63.956524170000002</v>
      </c>
      <c r="F85">
        <v>35</v>
      </c>
      <c r="G85">
        <v>60.605955000000002</v>
      </c>
      <c r="H85">
        <v>51.465031000000003</v>
      </c>
      <c r="I85">
        <v>14</v>
      </c>
      <c r="J85">
        <v>17</v>
      </c>
      <c r="K85">
        <v>12</v>
      </c>
      <c r="L85">
        <v>14.333333</v>
      </c>
      <c r="S85">
        <v>19</v>
      </c>
      <c r="T85">
        <v>18</v>
      </c>
    </row>
    <row r="86" spans="1:20" x14ac:dyDescent="0.15">
      <c r="A86" t="s">
        <v>252</v>
      </c>
      <c r="B86" t="s">
        <v>253</v>
      </c>
      <c r="C86" t="s">
        <v>254</v>
      </c>
      <c r="D86" s="2">
        <v>170.18</v>
      </c>
      <c r="E86" s="2">
        <v>89.811289260000009</v>
      </c>
      <c r="F86">
        <v>32</v>
      </c>
      <c r="G86">
        <v>58.191299999999998</v>
      </c>
      <c r="H86">
        <v>49.397266000000002</v>
      </c>
      <c r="I86">
        <v>7</v>
      </c>
      <c r="J86">
        <v>19</v>
      </c>
      <c r="K86">
        <v>17</v>
      </c>
      <c r="L86">
        <v>14.333333</v>
      </c>
      <c r="S86">
        <v>16</v>
      </c>
      <c r="T86">
        <v>15</v>
      </c>
    </row>
    <row r="87" spans="1:20" x14ac:dyDescent="0.15">
      <c r="A87" t="s">
        <v>255</v>
      </c>
      <c r="B87" t="s">
        <v>256</v>
      </c>
      <c r="C87" t="s">
        <v>257</v>
      </c>
      <c r="D87" s="2">
        <v>170.18</v>
      </c>
      <c r="E87" s="2">
        <v>108.86216880000001</v>
      </c>
      <c r="F87">
        <v>21</v>
      </c>
      <c r="G87">
        <v>40.421643000000003</v>
      </c>
      <c r="H87">
        <v>60.966493</v>
      </c>
      <c r="I87">
        <v>14</v>
      </c>
      <c r="J87">
        <v>21</v>
      </c>
      <c r="K87">
        <v>16</v>
      </c>
      <c r="L87">
        <v>17</v>
      </c>
      <c r="S87">
        <v>13</v>
      </c>
      <c r="T87">
        <v>17</v>
      </c>
    </row>
    <row r="88" spans="1:20" x14ac:dyDescent="0.15">
      <c r="A88" t="s">
        <v>258</v>
      </c>
      <c r="B88" t="s">
        <v>259</v>
      </c>
      <c r="C88" t="s">
        <v>260</v>
      </c>
      <c r="D88" s="2">
        <v>175.26</v>
      </c>
      <c r="E88" s="2">
        <v>74.842741050000001</v>
      </c>
      <c r="F88">
        <v>65</v>
      </c>
      <c r="G88">
        <v>32.104754</v>
      </c>
      <c r="H88">
        <v>66.895548000000005</v>
      </c>
      <c r="I88">
        <v>10</v>
      </c>
      <c r="J88">
        <v>23</v>
      </c>
      <c r="K88">
        <v>18</v>
      </c>
      <c r="L88">
        <v>17</v>
      </c>
      <c r="S88">
        <v>10</v>
      </c>
      <c r="T88">
        <v>11</v>
      </c>
    </row>
    <row r="89" spans="1:20" x14ac:dyDescent="0.15">
      <c r="A89" t="s">
        <v>261</v>
      </c>
      <c r="B89" t="s">
        <v>262</v>
      </c>
      <c r="C89" t="s">
        <v>263</v>
      </c>
      <c r="D89" s="2">
        <v>177.8</v>
      </c>
      <c r="E89" s="2">
        <v>52</v>
      </c>
      <c r="F89">
        <v>40</v>
      </c>
      <c r="G89">
        <v>74.037013999999999</v>
      </c>
      <c r="H89">
        <v>65.174480000000003</v>
      </c>
      <c r="I89">
        <v>14</v>
      </c>
      <c r="J89">
        <v>15</v>
      </c>
      <c r="K89">
        <v>10</v>
      </c>
      <c r="L89">
        <v>13</v>
      </c>
      <c r="S89">
        <v>11</v>
      </c>
      <c r="T89">
        <v>11</v>
      </c>
    </row>
    <row r="90" spans="1:20" x14ac:dyDescent="0.15">
      <c r="A90" t="s">
        <v>264</v>
      </c>
      <c r="B90" t="s">
        <v>265</v>
      </c>
      <c r="C90" t="s">
        <v>266</v>
      </c>
      <c r="D90" s="2">
        <v>167.64000000000001</v>
      </c>
      <c r="E90" s="2">
        <v>78.471480010000008</v>
      </c>
      <c r="F90">
        <v>52</v>
      </c>
      <c r="G90">
        <v>55.498792000000002</v>
      </c>
      <c r="H90">
        <v>84.587585000000004</v>
      </c>
      <c r="I90">
        <v>5</v>
      </c>
      <c r="J90">
        <v>18</v>
      </c>
      <c r="K90">
        <v>19</v>
      </c>
      <c r="L90">
        <v>14</v>
      </c>
      <c r="S90">
        <v>18</v>
      </c>
      <c r="T90">
        <v>18</v>
      </c>
    </row>
    <row r="91" spans="1:20" x14ac:dyDescent="0.15">
      <c r="A91" t="s">
        <v>267</v>
      </c>
      <c r="B91" t="s">
        <v>268</v>
      </c>
      <c r="C91" t="s">
        <v>269</v>
      </c>
      <c r="D91" s="2">
        <v>187.96</v>
      </c>
      <c r="E91" s="2">
        <v>109.76935354000001</v>
      </c>
      <c r="F91">
        <v>32</v>
      </c>
      <c r="G91">
        <v>35.389637</v>
      </c>
      <c r="H91">
        <v>72.641403999999994</v>
      </c>
      <c r="I91">
        <v>8</v>
      </c>
      <c r="J91">
        <v>20</v>
      </c>
      <c r="K91">
        <v>17</v>
      </c>
      <c r="L91">
        <v>15</v>
      </c>
      <c r="S91">
        <v>19</v>
      </c>
      <c r="T91">
        <v>11</v>
      </c>
    </row>
    <row r="92" spans="1:20" x14ac:dyDescent="0.15">
      <c r="A92" t="s">
        <v>270</v>
      </c>
      <c r="B92" t="s">
        <v>271</v>
      </c>
      <c r="C92" t="s">
        <v>272</v>
      </c>
      <c r="D92" s="2">
        <v>175.26</v>
      </c>
      <c r="E92" s="2">
        <v>84.368180820000006</v>
      </c>
      <c r="F92">
        <v>36</v>
      </c>
      <c r="G92">
        <v>56.034063000000003</v>
      </c>
      <c r="H92">
        <v>65.082888999999994</v>
      </c>
      <c r="I92">
        <v>14</v>
      </c>
      <c r="J92">
        <v>23</v>
      </c>
      <c r="K92">
        <v>15</v>
      </c>
      <c r="L92">
        <v>17.333333</v>
      </c>
      <c r="S92">
        <v>11</v>
      </c>
      <c r="T92">
        <v>13</v>
      </c>
    </row>
    <row r="93" spans="1:20" x14ac:dyDescent="0.15">
      <c r="A93" t="s">
        <v>273</v>
      </c>
      <c r="B93" t="s">
        <v>274</v>
      </c>
      <c r="C93" t="s">
        <v>275</v>
      </c>
      <c r="D93" s="2">
        <v>165.1</v>
      </c>
      <c r="E93" s="2">
        <v>89.811289260000009</v>
      </c>
      <c r="F93">
        <v>32</v>
      </c>
      <c r="G93">
        <v>62.300764000000001</v>
      </c>
      <c r="H93">
        <v>54.615282999999998</v>
      </c>
      <c r="I93">
        <v>5</v>
      </c>
      <c r="J93">
        <v>22</v>
      </c>
      <c r="K93">
        <v>15</v>
      </c>
      <c r="L93">
        <v>14</v>
      </c>
      <c r="S93">
        <v>14</v>
      </c>
      <c r="T93">
        <v>19</v>
      </c>
    </row>
    <row r="94" spans="1:20" x14ac:dyDescent="0.15">
      <c r="A94" t="s">
        <v>276</v>
      </c>
      <c r="B94" t="s">
        <v>277</v>
      </c>
      <c r="C94" t="s">
        <v>278</v>
      </c>
      <c r="D94" s="2">
        <v>157.47999999999999</v>
      </c>
      <c r="E94" s="2">
        <v>98.42954429000001</v>
      </c>
      <c r="F94">
        <v>32</v>
      </c>
      <c r="G94">
        <v>64.382803999999993</v>
      </c>
      <c r="H94">
        <v>67.775606999999994</v>
      </c>
      <c r="I94">
        <v>13</v>
      </c>
      <c r="J94">
        <v>15</v>
      </c>
      <c r="K94">
        <v>15</v>
      </c>
      <c r="L94">
        <v>14.333333</v>
      </c>
      <c r="S94">
        <v>15</v>
      </c>
      <c r="T94">
        <v>16</v>
      </c>
    </row>
    <row r="95" spans="1:20" x14ac:dyDescent="0.15">
      <c r="A95" t="s">
        <v>279</v>
      </c>
      <c r="B95" t="s">
        <v>280</v>
      </c>
      <c r="C95" t="s">
        <v>281</v>
      </c>
      <c r="D95" s="2">
        <v>187.96</v>
      </c>
      <c r="E95" s="2">
        <v>69.399632609999998</v>
      </c>
      <c r="F95">
        <v>53</v>
      </c>
      <c r="G95">
        <v>49.019866999999998</v>
      </c>
      <c r="H95">
        <v>54.478467999999999</v>
      </c>
      <c r="I95">
        <v>13</v>
      </c>
      <c r="J95">
        <v>24</v>
      </c>
      <c r="K95">
        <v>17</v>
      </c>
      <c r="L95">
        <v>18</v>
      </c>
      <c r="S95">
        <v>12</v>
      </c>
      <c r="T95">
        <v>12</v>
      </c>
    </row>
    <row r="96" spans="1:20" x14ac:dyDescent="0.15">
      <c r="A96" t="s">
        <v>282</v>
      </c>
      <c r="B96" t="s">
        <v>283</v>
      </c>
      <c r="C96" t="s">
        <v>284</v>
      </c>
      <c r="D96" s="2">
        <v>160.02000000000001</v>
      </c>
      <c r="E96" s="2">
        <v>95.254397699999998</v>
      </c>
      <c r="F96">
        <v>71</v>
      </c>
      <c r="G96">
        <v>54.874934000000003</v>
      </c>
      <c r="H96">
        <v>45.57544</v>
      </c>
      <c r="I96">
        <v>7</v>
      </c>
      <c r="J96">
        <v>22</v>
      </c>
      <c r="K96">
        <v>10</v>
      </c>
      <c r="L96">
        <v>13</v>
      </c>
      <c r="S96">
        <v>18</v>
      </c>
      <c r="T96">
        <v>17</v>
      </c>
    </row>
    <row r="97" spans="1:20" x14ac:dyDescent="0.15">
      <c r="A97" t="s">
        <v>285</v>
      </c>
      <c r="B97" t="s">
        <v>286</v>
      </c>
      <c r="C97" t="s">
        <v>287</v>
      </c>
      <c r="D97" s="2">
        <v>175.26</v>
      </c>
      <c r="E97" s="2">
        <v>90.718474000000001</v>
      </c>
      <c r="F97">
        <v>32</v>
      </c>
      <c r="G97">
        <v>56.485149999999997</v>
      </c>
      <c r="H97">
        <v>51.109952999999997</v>
      </c>
      <c r="I97">
        <v>7</v>
      </c>
      <c r="J97">
        <v>15</v>
      </c>
      <c r="K97">
        <v>11</v>
      </c>
      <c r="L97">
        <v>11</v>
      </c>
      <c r="S97">
        <v>19</v>
      </c>
      <c r="T97">
        <v>12</v>
      </c>
    </row>
    <row r="98" spans="1:20" x14ac:dyDescent="0.15">
      <c r="A98" t="s">
        <v>288</v>
      </c>
      <c r="B98" t="s">
        <v>289</v>
      </c>
      <c r="C98" t="s">
        <v>290</v>
      </c>
      <c r="D98" s="2">
        <v>175.26</v>
      </c>
      <c r="E98" s="2">
        <v>105.23342984</v>
      </c>
      <c r="F98">
        <v>25</v>
      </c>
      <c r="G98">
        <v>63.208083000000002</v>
      </c>
      <c r="H98">
        <v>63.140174999999999</v>
      </c>
      <c r="I98">
        <v>6</v>
      </c>
      <c r="J98">
        <v>18</v>
      </c>
      <c r="K98">
        <v>11</v>
      </c>
      <c r="L98">
        <v>11.666667</v>
      </c>
      <c r="S98">
        <v>19</v>
      </c>
      <c r="T98">
        <v>12</v>
      </c>
    </row>
    <row r="99" spans="1:20" x14ac:dyDescent="0.15">
      <c r="A99" t="s">
        <v>291</v>
      </c>
      <c r="B99" t="s">
        <v>292</v>
      </c>
      <c r="C99" t="s">
        <v>293</v>
      </c>
      <c r="D99" s="2">
        <v>160.02000000000001</v>
      </c>
      <c r="E99" s="2">
        <v>75.749925790000006</v>
      </c>
      <c r="F99">
        <v>75</v>
      </c>
      <c r="G99">
        <v>58.968995999999997</v>
      </c>
      <c r="H99">
        <v>49.538696999999999</v>
      </c>
      <c r="I99">
        <v>11</v>
      </c>
      <c r="J99">
        <v>17</v>
      </c>
      <c r="K99">
        <v>11</v>
      </c>
      <c r="L99">
        <v>13</v>
      </c>
      <c r="S99">
        <v>10</v>
      </c>
      <c r="T99">
        <v>16</v>
      </c>
    </row>
    <row r="100" spans="1:20" x14ac:dyDescent="0.15">
      <c r="A100" t="s">
        <v>294</v>
      </c>
      <c r="B100" t="s">
        <v>295</v>
      </c>
      <c r="C100" t="s">
        <v>296</v>
      </c>
      <c r="D100" s="2">
        <v>154.94</v>
      </c>
      <c r="E100" s="2">
        <v>114.75886961</v>
      </c>
      <c r="F100">
        <v>44</v>
      </c>
      <c r="G100">
        <v>64.270746000000003</v>
      </c>
      <c r="H100">
        <v>64.734868000000006</v>
      </c>
      <c r="I100">
        <v>12</v>
      </c>
      <c r="J100">
        <v>19</v>
      </c>
      <c r="K100">
        <v>13</v>
      </c>
      <c r="L100">
        <v>14.666667</v>
      </c>
      <c r="S100">
        <v>15</v>
      </c>
      <c r="T100">
        <v>14</v>
      </c>
    </row>
    <row r="101" spans="1:20" x14ac:dyDescent="0.15">
      <c r="A101" t="s">
        <v>297</v>
      </c>
      <c r="B101" t="s">
        <v>298</v>
      </c>
      <c r="C101" t="s">
        <v>299</v>
      </c>
      <c r="D101" s="2">
        <v>167.64000000000001</v>
      </c>
      <c r="E101" s="2">
        <v>97.522359550000004</v>
      </c>
      <c r="F101">
        <v>32</v>
      </c>
      <c r="G101">
        <v>52.750602999999998</v>
      </c>
      <c r="H101">
        <v>53.523218999999997</v>
      </c>
      <c r="I101">
        <v>14</v>
      </c>
      <c r="J101">
        <v>15</v>
      </c>
      <c r="K101">
        <v>19</v>
      </c>
      <c r="L101">
        <v>16</v>
      </c>
      <c r="S101">
        <v>11</v>
      </c>
      <c r="T101">
        <v>19</v>
      </c>
    </row>
    <row r="102" spans="1:20" x14ac:dyDescent="0.15">
      <c r="A102" t="s">
        <v>6</v>
      </c>
      <c r="B102" t="s">
        <v>1</v>
      </c>
      <c r="C102" t="s">
        <v>11</v>
      </c>
      <c r="D102" s="2">
        <v>177.8</v>
      </c>
      <c r="E102" s="2">
        <v>79.832257120000008</v>
      </c>
      <c r="F102">
        <v>67</v>
      </c>
      <c r="G102">
        <v>35.760285000000003</v>
      </c>
      <c r="H102">
        <v>60.248187999999999</v>
      </c>
      <c r="I102">
        <v>11</v>
      </c>
      <c r="J102">
        <v>18</v>
      </c>
      <c r="K102">
        <v>16</v>
      </c>
      <c r="L102">
        <v>15</v>
      </c>
      <c r="S102">
        <v>11</v>
      </c>
      <c r="T102">
        <v>10</v>
      </c>
    </row>
    <row r="103" spans="1:20" x14ac:dyDescent="0.15">
      <c r="A103" t="s">
        <v>6</v>
      </c>
      <c r="B103" t="s">
        <v>7</v>
      </c>
      <c r="C103" t="s">
        <v>2</v>
      </c>
      <c r="D103" s="2">
        <v>175.26</v>
      </c>
      <c r="E103" s="2">
        <v>65.770893650000005</v>
      </c>
      <c r="F103">
        <v>72</v>
      </c>
      <c r="G103">
        <v>57.718023000000002</v>
      </c>
      <c r="H103">
        <v>79.439949999999996</v>
      </c>
      <c r="I103">
        <v>10</v>
      </c>
      <c r="J103">
        <v>21</v>
      </c>
      <c r="K103">
        <v>13</v>
      </c>
      <c r="L103">
        <v>14.666667</v>
      </c>
      <c r="S103">
        <v>12</v>
      </c>
      <c r="T103">
        <v>13</v>
      </c>
    </row>
    <row r="104" spans="1:20" x14ac:dyDescent="0.15">
      <c r="A104" t="s">
        <v>6</v>
      </c>
      <c r="B104" t="s">
        <v>4</v>
      </c>
      <c r="C104" t="s">
        <v>32</v>
      </c>
      <c r="D104" s="2">
        <v>175.26</v>
      </c>
      <c r="E104" s="2">
        <v>87.543327410000003</v>
      </c>
      <c r="F104">
        <v>32</v>
      </c>
      <c r="G104">
        <v>46.067113999999997</v>
      </c>
      <c r="H104">
        <v>72.160670999999994</v>
      </c>
      <c r="I104">
        <v>12</v>
      </c>
      <c r="J104">
        <v>15</v>
      </c>
      <c r="K104">
        <v>10</v>
      </c>
      <c r="L104">
        <v>12.333333</v>
      </c>
      <c r="S104">
        <v>10</v>
      </c>
      <c r="T104">
        <v>14</v>
      </c>
    </row>
    <row r="105" spans="1:20" x14ac:dyDescent="0.15">
      <c r="A105" t="s">
        <v>6</v>
      </c>
      <c r="B105" t="s">
        <v>1</v>
      </c>
      <c r="C105" t="s">
        <v>32</v>
      </c>
      <c r="D105" s="2">
        <v>154.94</v>
      </c>
      <c r="E105" s="2">
        <v>104.32624510000001</v>
      </c>
      <c r="F105">
        <v>32</v>
      </c>
      <c r="G105">
        <v>56.97166</v>
      </c>
      <c r="H105">
        <v>35.021351000000003</v>
      </c>
      <c r="I105">
        <v>14</v>
      </c>
      <c r="J105">
        <v>18</v>
      </c>
      <c r="K105">
        <v>11</v>
      </c>
      <c r="L105">
        <v>14.333333</v>
      </c>
      <c r="S105">
        <v>19</v>
      </c>
      <c r="T105">
        <v>12</v>
      </c>
    </row>
    <row r="106" spans="1:20" x14ac:dyDescent="0.15">
      <c r="A106" t="s">
        <v>6</v>
      </c>
      <c r="B106" t="s">
        <v>1</v>
      </c>
      <c r="C106" t="s">
        <v>2</v>
      </c>
      <c r="D106" s="2">
        <v>177.8</v>
      </c>
      <c r="E106" s="2">
        <v>115.21246198</v>
      </c>
      <c r="F106">
        <v>32</v>
      </c>
      <c r="G106">
        <v>48.895415999999997</v>
      </c>
      <c r="H106">
        <v>58.214284999999997</v>
      </c>
      <c r="I106">
        <v>13</v>
      </c>
      <c r="J106">
        <v>15</v>
      </c>
      <c r="K106">
        <v>18</v>
      </c>
      <c r="L106">
        <v>15.333333</v>
      </c>
      <c r="S106">
        <v>14</v>
      </c>
      <c r="T106">
        <v>16</v>
      </c>
    </row>
    <row r="107" spans="1:20" x14ac:dyDescent="0.15">
      <c r="A107" t="s">
        <v>6</v>
      </c>
      <c r="B107" t="s">
        <v>7</v>
      </c>
      <c r="C107" t="s">
        <v>2</v>
      </c>
      <c r="D107" s="2">
        <v>175.26</v>
      </c>
      <c r="E107" s="2">
        <v>88.450512150000009</v>
      </c>
      <c r="F107">
        <v>47</v>
      </c>
      <c r="G107">
        <v>46.712027999999997</v>
      </c>
      <c r="H107">
        <v>62.321781000000001</v>
      </c>
      <c r="I107">
        <v>13</v>
      </c>
      <c r="J107">
        <v>21</v>
      </c>
      <c r="K107">
        <v>19</v>
      </c>
      <c r="L107">
        <v>17.666667</v>
      </c>
      <c r="S107">
        <v>15</v>
      </c>
      <c r="T107">
        <v>17</v>
      </c>
    </row>
    <row r="108" spans="1:20" x14ac:dyDescent="0.15">
      <c r="A108" t="s">
        <v>6</v>
      </c>
      <c r="B108" t="s">
        <v>1</v>
      </c>
      <c r="C108" t="s">
        <v>2</v>
      </c>
      <c r="D108" s="2">
        <v>185.42000000000002</v>
      </c>
      <c r="E108" s="2">
        <v>71.214002090000008</v>
      </c>
      <c r="F108">
        <v>43</v>
      </c>
      <c r="G108">
        <v>43.617373999999998</v>
      </c>
      <c r="H108">
        <v>60.657874999999997</v>
      </c>
      <c r="I108">
        <v>12</v>
      </c>
      <c r="J108">
        <v>15</v>
      </c>
      <c r="K108">
        <v>11</v>
      </c>
      <c r="L108">
        <v>12.666667</v>
      </c>
      <c r="S108">
        <v>19</v>
      </c>
      <c r="T108">
        <v>16</v>
      </c>
    </row>
    <row r="109" spans="1:20" x14ac:dyDescent="0.15">
      <c r="A109" t="s">
        <v>6</v>
      </c>
      <c r="B109" t="s">
        <v>7</v>
      </c>
      <c r="C109" t="s">
        <v>26</v>
      </c>
      <c r="D109" s="2">
        <v>172.72</v>
      </c>
      <c r="E109" s="2">
        <v>93.440028220000002</v>
      </c>
      <c r="F109">
        <v>25</v>
      </c>
      <c r="G109">
        <v>40.121015999999997</v>
      </c>
      <c r="H109">
        <v>63.825861000000003</v>
      </c>
      <c r="I109">
        <v>8</v>
      </c>
      <c r="J109">
        <v>21</v>
      </c>
      <c r="K109">
        <v>14</v>
      </c>
      <c r="L109">
        <v>14.333333</v>
      </c>
      <c r="S109">
        <v>10</v>
      </c>
      <c r="T109">
        <v>18</v>
      </c>
    </row>
    <row r="110" spans="1:20" x14ac:dyDescent="0.15">
      <c r="A110" t="s">
        <v>0</v>
      </c>
      <c r="B110" t="s">
        <v>7</v>
      </c>
      <c r="C110" t="s">
        <v>2</v>
      </c>
      <c r="D110" s="2">
        <v>177.8</v>
      </c>
      <c r="E110" s="2">
        <v>102.51187562000001</v>
      </c>
      <c r="F110">
        <v>62</v>
      </c>
      <c r="G110">
        <v>33.765472000000003</v>
      </c>
      <c r="H110">
        <v>55.339570999999999</v>
      </c>
      <c r="I110">
        <v>6</v>
      </c>
      <c r="J110">
        <v>23</v>
      </c>
      <c r="K110">
        <v>18</v>
      </c>
      <c r="L110">
        <v>15.666667</v>
      </c>
      <c r="S110">
        <v>11</v>
      </c>
      <c r="T110">
        <v>17</v>
      </c>
    </row>
    <row r="111" spans="1:20" x14ac:dyDescent="0.15">
      <c r="A111" t="s">
        <v>0</v>
      </c>
      <c r="B111" t="s">
        <v>1</v>
      </c>
      <c r="C111" t="s">
        <v>32</v>
      </c>
      <c r="D111" s="2">
        <v>167.64000000000001</v>
      </c>
      <c r="E111" s="2">
        <v>89.811289260000009</v>
      </c>
      <c r="F111">
        <v>71</v>
      </c>
      <c r="G111">
        <v>39.511904999999999</v>
      </c>
      <c r="H111">
        <v>48.636389999999999</v>
      </c>
      <c r="I111">
        <v>11</v>
      </c>
      <c r="J111">
        <v>21</v>
      </c>
      <c r="K111">
        <v>11</v>
      </c>
      <c r="L111">
        <v>14.333333</v>
      </c>
      <c r="S111">
        <v>16</v>
      </c>
      <c r="T111">
        <v>12</v>
      </c>
    </row>
    <row r="112" spans="1:20" x14ac:dyDescent="0.15">
      <c r="A112" t="s">
        <v>0</v>
      </c>
      <c r="B112" t="s">
        <v>4</v>
      </c>
      <c r="C112" t="s">
        <v>32</v>
      </c>
      <c r="D112" s="2">
        <v>144.78</v>
      </c>
      <c r="E112" s="2">
        <v>98.42954429000001</v>
      </c>
      <c r="F112">
        <v>45</v>
      </c>
      <c r="G112">
        <v>59.189489000000002</v>
      </c>
      <c r="H112">
        <v>42.100948000000002</v>
      </c>
      <c r="I112">
        <v>11</v>
      </c>
      <c r="J112">
        <v>23</v>
      </c>
      <c r="K112">
        <v>13</v>
      </c>
      <c r="L112">
        <v>15.666667</v>
      </c>
      <c r="S112">
        <v>12</v>
      </c>
      <c r="T112">
        <v>17</v>
      </c>
    </row>
    <row r="113" spans="1:20" x14ac:dyDescent="0.15">
      <c r="A113" t="s">
        <v>0</v>
      </c>
      <c r="B113" t="s">
        <v>1</v>
      </c>
      <c r="C113" t="s">
        <v>2</v>
      </c>
      <c r="D113" s="2">
        <v>172.72</v>
      </c>
      <c r="E113" s="2">
        <v>80.285849490000004</v>
      </c>
      <c r="F113">
        <v>32</v>
      </c>
      <c r="G113">
        <v>40.592303999999999</v>
      </c>
      <c r="H113">
        <v>72.673913999999996</v>
      </c>
      <c r="I113">
        <v>5</v>
      </c>
      <c r="J113">
        <v>17</v>
      </c>
      <c r="K113">
        <v>19</v>
      </c>
      <c r="L113">
        <v>13.666667</v>
      </c>
      <c r="T113">
        <v>16</v>
      </c>
    </row>
    <row r="114" spans="1:20" x14ac:dyDescent="0.15">
      <c r="A114" t="s">
        <v>0</v>
      </c>
      <c r="B114" t="s">
        <v>1</v>
      </c>
      <c r="C114" t="s">
        <v>2</v>
      </c>
      <c r="D114" s="2">
        <v>160.02000000000001</v>
      </c>
      <c r="E114" s="2">
        <v>67.585263130000001</v>
      </c>
      <c r="F114">
        <v>40</v>
      </c>
      <c r="G114">
        <v>62.763944000000002</v>
      </c>
      <c r="H114">
        <v>53.839691000000002</v>
      </c>
      <c r="I114">
        <v>12</v>
      </c>
      <c r="J114">
        <v>22</v>
      </c>
      <c r="K114">
        <v>16</v>
      </c>
      <c r="L114">
        <v>16.666667</v>
      </c>
      <c r="T114">
        <v>17</v>
      </c>
    </row>
    <row r="115" spans="1:20" x14ac:dyDescent="0.15">
      <c r="A115" t="s">
        <v>0</v>
      </c>
      <c r="B115" t="s">
        <v>7</v>
      </c>
      <c r="C115" t="s">
        <v>11</v>
      </c>
      <c r="D115" s="2">
        <v>175.26</v>
      </c>
      <c r="E115" s="2">
        <v>85.275365559999997</v>
      </c>
      <c r="F115">
        <v>32</v>
      </c>
      <c r="G115">
        <v>65.115707999999998</v>
      </c>
      <c r="H115">
        <v>76.137549000000007</v>
      </c>
      <c r="I115">
        <v>8</v>
      </c>
      <c r="J115">
        <v>19</v>
      </c>
      <c r="K115">
        <v>12</v>
      </c>
      <c r="L115">
        <v>13</v>
      </c>
      <c r="T115">
        <v>14</v>
      </c>
    </row>
    <row r="116" spans="1:20" x14ac:dyDescent="0.15">
      <c r="A116" t="s">
        <v>0</v>
      </c>
      <c r="B116" t="s">
        <v>1</v>
      </c>
      <c r="C116" t="s">
        <v>32</v>
      </c>
      <c r="D116" s="2">
        <v>160.02000000000001</v>
      </c>
      <c r="E116" s="2">
        <v>86.182550300000003</v>
      </c>
      <c r="F116">
        <v>46</v>
      </c>
      <c r="G116">
        <v>51.128903000000001</v>
      </c>
      <c r="H116">
        <v>79.035864000000004</v>
      </c>
      <c r="I116">
        <v>14</v>
      </c>
      <c r="J116">
        <v>24</v>
      </c>
      <c r="K116">
        <v>17</v>
      </c>
      <c r="L116">
        <v>18.333333</v>
      </c>
      <c r="T116">
        <v>17</v>
      </c>
    </row>
    <row r="117" spans="1:20" x14ac:dyDescent="0.15">
      <c r="A117" t="s">
        <v>0</v>
      </c>
      <c r="B117" t="s">
        <v>1</v>
      </c>
      <c r="C117" t="s">
        <v>11</v>
      </c>
      <c r="D117" s="2">
        <v>187.96</v>
      </c>
      <c r="E117" s="2">
        <v>88.904104520000004</v>
      </c>
      <c r="F117">
        <v>32</v>
      </c>
      <c r="G117">
        <v>56.443207000000001</v>
      </c>
      <c r="H117">
        <v>58.587752999999999</v>
      </c>
      <c r="I117">
        <v>8</v>
      </c>
      <c r="J117">
        <v>16</v>
      </c>
      <c r="K117">
        <v>12</v>
      </c>
      <c r="L117">
        <v>12</v>
      </c>
      <c r="T117">
        <v>17</v>
      </c>
    </row>
    <row r="118" spans="1:20" x14ac:dyDescent="0.15">
      <c r="A118" t="s">
        <v>0</v>
      </c>
      <c r="B118" t="s">
        <v>7</v>
      </c>
      <c r="C118" t="s">
        <v>11</v>
      </c>
      <c r="D118" s="2">
        <v>180.34</v>
      </c>
      <c r="E118" s="2">
        <v>65.770893650000005</v>
      </c>
      <c r="F118">
        <v>32</v>
      </c>
      <c r="G118">
        <v>50.058624000000002</v>
      </c>
      <c r="H118">
        <v>58.846815999999997</v>
      </c>
      <c r="I118">
        <v>5</v>
      </c>
      <c r="J118">
        <v>20</v>
      </c>
      <c r="K118">
        <v>12</v>
      </c>
      <c r="L118">
        <v>12.333333</v>
      </c>
      <c r="T118">
        <v>11</v>
      </c>
    </row>
    <row r="119" spans="1:20" x14ac:dyDescent="0.15">
      <c r="A119" t="s">
        <v>6</v>
      </c>
      <c r="B119" t="s">
        <v>7</v>
      </c>
      <c r="C119" t="s">
        <v>2</v>
      </c>
      <c r="D119" s="2">
        <v>175.26</v>
      </c>
      <c r="E119" s="2">
        <v>70.760409719999998</v>
      </c>
      <c r="F119">
        <v>32</v>
      </c>
      <c r="G119">
        <v>50.943206000000004</v>
      </c>
      <c r="H119">
        <v>85.926238999999995</v>
      </c>
      <c r="I119">
        <v>9</v>
      </c>
      <c r="J119">
        <v>16</v>
      </c>
      <c r="K119">
        <v>15</v>
      </c>
      <c r="L119">
        <v>13.333333</v>
      </c>
      <c r="T119">
        <v>12</v>
      </c>
    </row>
    <row r="120" spans="1:20" x14ac:dyDescent="0.15">
      <c r="A120" t="s">
        <v>0</v>
      </c>
      <c r="B120" t="s">
        <v>1</v>
      </c>
      <c r="C120" t="s">
        <v>11</v>
      </c>
      <c r="D120" s="2">
        <v>172.72</v>
      </c>
      <c r="E120" s="2">
        <v>105.68702221000001</v>
      </c>
      <c r="F120">
        <v>27</v>
      </c>
      <c r="G120">
        <v>65.896657000000005</v>
      </c>
      <c r="H120">
        <v>63.098035000000003</v>
      </c>
      <c r="I120">
        <v>6</v>
      </c>
      <c r="J120">
        <v>19</v>
      </c>
      <c r="K120">
        <v>16</v>
      </c>
      <c r="L120">
        <v>13.666667</v>
      </c>
      <c r="T120">
        <v>19</v>
      </c>
    </row>
    <row r="121" spans="1:20" x14ac:dyDescent="0.15">
      <c r="A121" t="s">
        <v>6</v>
      </c>
      <c r="B121" t="s">
        <v>7</v>
      </c>
      <c r="C121" t="s">
        <v>11</v>
      </c>
      <c r="D121" s="2">
        <v>185.42000000000002</v>
      </c>
      <c r="E121" s="2">
        <v>85.728957930000007</v>
      </c>
      <c r="F121">
        <v>43</v>
      </c>
      <c r="G121">
        <v>59.588678000000002</v>
      </c>
      <c r="H121">
        <v>64.242712999999995</v>
      </c>
      <c r="I121">
        <v>5</v>
      </c>
      <c r="J121">
        <v>17</v>
      </c>
      <c r="K121">
        <v>12</v>
      </c>
      <c r="L121">
        <v>11.333333</v>
      </c>
      <c r="T121">
        <v>10</v>
      </c>
    </row>
    <row r="122" spans="1:20" x14ac:dyDescent="0.15">
      <c r="A122" t="s">
        <v>0</v>
      </c>
      <c r="B122" t="s">
        <v>1</v>
      </c>
      <c r="C122" t="s">
        <v>32</v>
      </c>
      <c r="D122" s="2">
        <v>160.02000000000001</v>
      </c>
      <c r="E122" s="2">
        <v>101.60469088000001</v>
      </c>
      <c r="F122">
        <v>57</v>
      </c>
      <c r="G122">
        <v>79.609170000000006</v>
      </c>
      <c r="H122">
        <v>70.860230000000001</v>
      </c>
      <c r="I122">
        <v>6</v>
      </c>
      <c r="J122">
        <v>15</v>
      </c>
      <c r="K122">
        <v>14</v>
      </c>
      <c r="L122">
        <v>11.666667</v>
      </c>
    </row>
    <row r="123" spans="1:20" x14ac:dyDescent="0.15">
      <c r="A123" t="s">
        <v>0</v>
      </c>
      <c r="B123" t="s">
        <v>7</v>
      </c>
      <c r="C123" t="s">
        <v>11</v>
      </c>
      <c r="D123" s="2">
        <v>170.18</v>
      </c>
      <c r="E123" s="2">
        <v>68.038855499999997</v>
      </c>
      <c r="F123">
        <v>35</v>
      </c>
      <c r="G123">
        <v>52.440868000000002</v>
      </c>
      <c r="H123">
        <v>55.910545999999997</v>
      </c>
      <c r="I123">
        <v>14</v>
      </c>
      <c r="J123">
        <v>23</v>
      </c>
      <c r="K123">
        <v>19</v>
      </c>
      <c r="L123">
        <v>18.666667</v>
      </c>
    </row>
    <row r="124" spans="1:20" x14ac:dyDescent="0.15">
      <c r="A124" t="s">
        <v>6</v>
      </c>
      <c r="B124" t="s">
        <v>7</v>
      </c>
      <c r="C124" t="s">
        <v>2</v>
      </c>
      <c r="D124" s="2">
        <v>147.32</v>
      </c>
      <c r="E124" s="2">
        <v>95.254397699999998</v>
      </c>
      <c r="F124">
        <v>33</v>
      </c>
      <c r="G124">
        <v>58.260694000000001</v>
      </c>
      <c r="H124">
        <v>81.020588000000004</v>
      </c>
      <c r="I124">
        <v>12</v>
      </c>
      <c r="J124">
        <v>24</v>
      </c>
      <c r="K124">
        <v>18</v>
      </c>
      <c r="L124">
        <v>18</v>
      </c>
    </row>
    <row r="125" spans="1:20" x14ac:dyDescent="0.15">
      <c r="A125" t="s">
        <v>6</v>
      </c>
      <c r="B125" t="s">
        <v>7</v>
      </c>
      <c r="C125" t="s">
        <v>32</v>
      </c>
      <c r="D125" s="2">
        <v>162.56</v>
      </c>
      <c r="E125" s="2">
        <v>65.317301280000009</v>
      </c>
      <c r="F125">
        <v>31</v>
      </c>
      <c r="G125">
        <v>34.200839999999999</v>
      </c>
      <c r="H125">
        <v>44.689906999999998</v>
      </c>
      <c r="I125">
        <v>14</v>
      </c>
      <c r="J125">
        <v>23</v>
      </c>
      <c r="K125">
        <v>19</v>
      </c>
      <c r="L125">
        <v>18.666667</v>
      </c>
    </row>
    <row r="126" spans="1:20" x14ac:dyDescent="0.15">
      <c r="A126" t="s">
        <v>0</v>
      </c>
      <c r="B126" t="s">
        <v>4</v>
      </c>
      <c r="C126" t="s">
        <v>32</v>
      </c>
      <c r="D126" s="2">
        <v>175.26</v>
      </c>
      <c r="E126" s="2">
        <v>90.264881630000005</v>
      </c>
      <c r="F126">
        <v>57</v>
      </c>
      <c r="G126">
        <v>33.358384999999998</v>
      </c>
      <c r="H126">
        <v>62.557568000000003</v>
      </c>
      <c r="I126">
        <v>10</v>
      </c>
      <c r="J126">
        <v>15</v>
      </c>
      <c r="K126">
        <v>10</v>
      </c>
      <c r="L126">
        <v>11.666667</v>
      </c>
    </row>
    <row r="127" spans="1:20" x14ac:dyDescent="0.15">
      <c r="A127" t="s">
        <v>0</v>
      </c>
      <c r="B127" t="s">
        <v>7</v>
      </c>
      <c r="C127" t="s">
        <v>32</v>
      </c>
      <c r="D127" s="2">
        <v>167.64000000000001</v>
      </c>
      <c r="E127" s="2">
        <v>87.543327410000003</v>
      </c>
      <c r="F127">
        <v>32</v>
      </c>
      <c r="G127">
        <v>53.907473000000003</v>
      </c>
      <c r="H127">
        <v>60.014952000000001</v>
      </c>
      <c r="I127">
        <v>6</v>
      </c>
      <c r="J127">
        <v>20</v>
      </c>
      <c r="K127">
        <v>13</v>
      </c>
      <c r="L127">
        <v>13</v>
      </c>
    </row>
    <row r="128" spans="1:20" x14ac:dyDescent="0.15">
      <c r="A128" t="s">
        <v>6</v>
      </c>
      <c r="B128" t="s">
        <v>7</v>
      </c>
      <c r="C128" t="s">
        <v>11</v>
      </c>
      <c r="D128" s="2">
        <v>172.72</v>
      </c>
      <c r="E128" s="2">
        <v>99.79032140000001</v>
      </c>
      <c r="F128">
        <v>32</v>
      </c>
      <c r="G128">
        <v>50.082849000000003</v>
      </c>
      <c r="H128">
        <v>53.723021000000003</v>
      </c>
      <c r="I128">
        <v>14</v>
      </c>
      <c r="J128">
        <v>23</v>
      </c>
      <c r="K128">
        <v>19</v>
      </c>
      <c r="L128">
        <v>18.666667</v>
      </c>
    </row>
    <row r="129" spans="1:12" x14ac:dyDescent="0.15">
      <c r="A129" t="s">
        <v>0</v>
      </c>
      <c r="B129" t="s">
        <v>7</v>
      </c>
      <c r="C129" t="s">
        <v>26</v>
      </c>
      <c r="D129" s="2">
        <v>165.1</v>
      </c>
      <c r="E129" s="2">
        <v>91.17206637000001</v>
      </c>
      <c r="F129">
        <v>75</v>
      </c>
      <c r="G129">
        <v>50.826642999999997</v>
      </c>
      <c r="H129">
        <v>66.167861000000002</v>
      </c>
      <c r="I129">
        <v>13</v>
      </c>
      <c r="J129">
        <v>24</v>
      </c>
      <c r="K129">
        <v>14</v>
      </c>
      <c r="L129">
        <v>17</v>
      </c>
    </row>
    <row r="130" spans="1:12" x14ac:dyDescent="0.15">
      <c r="A130" t="s">
        <v>6</v>
      </c>
      <c r="B130" t="s">
        <v>7</v>
      </c>
      <c r="C130" t="s">
        <v>2</v>
      </c>
      <c r="D130" s="2">
        <v>172.72</v>
      </c>
      <c r="E130" s="2">
        <v>51.255937810000006</v>
      </c>
      <c r="F130">
        <v>32</v>
      </c>
      <c r="G130">
        <v>52.463576000000003</v>
      </c>
      <c r="H130">
        <v>67.704088999999996</v>
      </c>
      <c r="I130">
        <v>10</v>
      </c>
      <c r="J130">
        <v>15</v>
      </c>
      <c r="K130">
        <v>10</v>
      </c>
      <c r="L130">
        <v>11.666667</v>
      </c>
    </row>
    <row r="131" spans="1:12" x14ac:dyDescent="0.15">
      <c r="A131" t="s">
        <v>6</v>
      </c>
      <c r="B131" t="s">
        <v>4</v>
      </c>
      <c r="C131" t="s">
        <v>2</v>
      </c>
      <c r="D131" s="2">
        <v>190.5</v>
      </c>
      <c r="E131" s="2">
        <v>76.657110529999997</v>
      </c>
      <c r="F131">
        <v>35</v>
      </c>
      <c r="G131">
        <v>28.571655</v>
      </c>
      <c r="H131">
        <v>75.334412999999998</v>
      </c>
      <c r="I131">
        <v>5</v>
      </c>
      <c r="J131">
        <v>23</v>
      </c>
      <c r="K131">
        <v>15</v>
      </c>
      <c r="L131">
        <v>14.333333</v>
      </c>
    </row>
    <row r="132" spans="1:12" x14ac:dyDescent="0.15">
      <c r="A132" t="s">
        <v>6</v>
      </c>
      <c r="B132" t="s">
        <v>7</v>
      </c>
      <c r="C132" t="s">
        <v>2</v>
      </c>
      <c r="D132" s="2">
        <v>172.72</v>
      </c>
      <c r="E132" s="2">
        <v>71.667594460000004</v>
      </c>
      <c r="F132">
        <v>44</v>
      </c>
      <c r="G132">
        <v>42.041415000000001</v>
      </c>
      <c r="H132">
        <v>68.901362000000006</v>
      </c>
      <c r="I132">
        <v>14</v>
      </c>
      <c r="J132">
        <v>21</v>
      </c>
      <c r="K132">
        <v>11</v>
      </c>
      <c r="L132">
        <v>15.333333</v>
      </c>
    </row>
    <row r="133" spans="1:12" x14ac:dyDescent="0.15">
      <c r="A133" t="s">
        <v>0</v>
      </c>
      <c r="B133" t="s">
        <v>1</v>
      </c>
      <c r="C133" t="s">
        <v>11</v>
      </c>
      <c r="D133" s="2">
        <v>170.18</v>
      </c>
      <c r="E133" s="2">
        <v>80.285849490000004</v>
      </c>
      <c r="F133">
        <v>54</v>
      </c>
      <c r="G133">
        <v>44.532069</v>
      </c>
      <c r="H133">
        <v>62.860688000000003</v>
      </c>
      <c r="I133">
        <v>12</v>
      </c>
      <c r="J133">
        <v>24</v>
      </c>
      <c r="K133">
        <v>12</v>
      </c>
      <c r="L133">
        <v>16</v>
      </c>
    </row>
    <row r="134" spans="1:12" x14ac:dyDescent="0.15">
      <c r="A134" t="s">
        <v>6</v>
      </c>
      <c r="B134" t="s">
        <v>1</v>
      </c>
      <c r="C134" t="s">
        <v>32</v>
      </c>
      <c r="D134" s="2">
        <v>167.64000000000001</v>
      </c>
      <c r="E134" s="2">
        <v>71.667594460000004</v>
      </c>
      <c r="F134">
        <v>32</v>
      </c>
      <c r="G134">
        <v>45.068669999999997</v>
      </c>
      <c r="H134">
        <v>48.443657000000002</v>
      </c>
      <c r="I134">
        <v>11</v>
      </c>
      <c r="J134">
        <v>19</v>
      </c>
      <c r="K134">
        <v>11</v>
      </c>
      <c r="L134">
        <v>13.666667</v>
      </c>
    </row>
    <row r="135" spans="1:12" x14ac:dyDescent="0.15">
      <c r="A135" t="s">
        <v>0</v>
      </c>
      <c r="B135" t="s">
        <v>7</v>
      </c>
      <c r="C135" t="s">
        <v>11</v>
      </c>
      <c r="D135" s="2">
        <v>177.8</v>
      </c>
      <c r="E135" s="2">
        <v>86.636142669999998</v>
      </c>
      <c r="F135">
        <v>46</v>
      </c>
      <c r="G135">
        <v>38.765951999999999</v>
      </c>
      <c r="H135">
        <v>80.187061</v>
      </c>
      <c r="I135">
        <v>7</v>
      </c>
      <c r="J135">
        <v>24</v>
      </c>
      <c r="K135">
        <v>16</v>
      </c>
      <c r="L135">
        <v>15.666667</v>
      </c>
    </row>
    <row r="136" spans="1:12" x14ac:dyDescent="0.15">
      <c r="A136" t="s">
        <v>6</v>
      </c>
      <c r="B136" t="s">
        <v>1</v>
      </c>
      <c r="C136" t="s">
        <v>2</v>
      </c>
      <c r="D136" s="2">
        <v>177.8</v>
      </c>
      <c r="E136" s="2">
        <v>63.956524170000002</v>
      </c>
      <c r="F136">
        <v>35</v>
      </c>
      <c r="G136">
        <v>60.605955000000002</v>
      </c>
      <c r="H136">
        <v>51.465031000000003</v>
      </c>
      <c r="I136">
        <v>14</v>
      </c>
      <c r="J136">
        <v>17</v>
      </c>
      <c r="K136">
        <v>12</v>
      </c>
      <c r="L136">
        <v>14.333333</v>
      </c>
    </row>
    <row r="137" spans="1:12" x14ac:dyDescent="0.15">
      <c r="A137" t="s">
        <v>0</v>
      </c>
      <c r="B137" t="s">
        <v>1</v>
      </c>
      <c r="C137" t="s">
        <v>2</v>
      </c>
      <c r="D137" s="2">
        <v>170.18</v>
      </c>
      <c r="E137" s="2">
        <v>89.811289260000009</v>
      </c>
      <c r="F137">
        <v>32</v>
      </c>
      <c r="G137">
        <v>58.191299999999998</v>
      </c>
      <c r="H137">
        <v>49.397266000000002</v>
      </c>
      <c r="I137">
        <v>7</v>
      </c>
      <c r="J137">
        <v>19</v>
      </c>
      <c r="K137">
        <v>17</v>
      </c>
      <c r="L137">
        <v>14.333333</v>
      </c>
    </row>
    <row r="138" spans="1:12" x14ac:dyDescent="0.15">
      <c r="A138" t="s">
        <v>0</v>
      </c>
      <c r="B138" t="s">
        <v>1</v>
      </c>
      <c r="C138" t="s">
        <v>32</v>
      </c>
      <c r="D138" s="2">
        <v>170.18</v>
      </c>
      <c r="E138" s="2">
        <v>108.86216880000001</v>
      </c>
      <c r="F138">
        <v>21</v>
      </c>
      <c r="G138">
        <v>40.421643000000003</v>
      </c>
      <c r="H138">
        <v>60.966493</v>
      </c>
      <c r="I138">
        <v>14</v>
      </c>
      <c r="J138">
        <v>21</v>
      </c>
      <c r="K138">
        <v>16</v>
      </c>
      <c r="L138">
        <v>17</v>
      </c>
    </row>
    <row r="139" spans="1:12" x14ac:dyDescent="0.15">
      <c r="A139" t="s">
        <v>0</v>
      </c>
      <c r="B139" t="s">
        <v>7</v>
      </c>
      <c r="C139" t="s">
        <v>2</v>
      </c>
      <c r="D139" s="2">
        <v>175.26</v>
      </c>
      <c r="E139" s="2">
        <v>74.842741050000001</v>
      </c>
      <c r="F139">
        <v>65</v>
      </c>
      <c r="G139">
        <v>32.104754</v>
      </c>
      <c r="H139">
        <v>66.895548000000005</v>
      </c>
      <c r="I139">
        <v>10</v>
      </c>
      <c r="J139">
        <v>23</v>
      </c>
      <c r="K139">
        <v>18</v>
      </c>
      <c r="L139">
        <v>17</v>
      </c>
    </row>
    <row r="140" spans="1:12" x14ac:dyDescent="0.15">
      <c r="A140" t="s">
        <v>6</v>
      </c>
      <c r="B140" t="s">
        <v>7</v>
      </c>
      <c r="C140" t="s">
        <v>2</v>
      </c>
      <c r="D140" s="2">
        <v>177.8</v>
      </c>
      <c r="E140" s="2">
        <v>52</v>
      </c>
      <c r="F140">
        <v>40</v>
      </c>
      <c r="G140">
        <v>74.037013999999999</v>
      </c>
      <c r="H140">
        <v>65.174480000000003</v>
      </c>
      <c r="I140">
        <v>14</v>
      </c>
      <c r="J140">
        <v>15</v>
      </c>
      <c r="K140">
        <v>10</v>
      </c>
      <c r="L140">
        <v>13</v>
      </c>
    </row>
    <row r="141" spans="1:12" x14ac:dyDescent="0.15">
      <c r="A141" t="s">
        <v>6</v>
      </c>
      <c r="B141" t="s">
        <v>1</v>
      </c>
      <c r="C141" t="s">
        <v>11</v>
      </c>
      <c r="D141" s="2">
        <v>167.64000000000001</v>
      </c>
      <c r="E141" s="2">
        <v>78.471480010000008</v>
      </c>
      <c r="F141">
        <v>52</v>
      </c>
      <c r="G141">
        <v>55.498792000000002</v>
      </c>
      <c r="H141">
        <v>84.587585000000004</v>
      </c>
      <c r="I141">
        <v>5</v>
      </c>
      <c r="J141">
        <v>18</v>
      </c>
      <c r="K141">
        <v>19</v>
      </c>
      <c r="L141">
        <v>14</v>
      </c>
    </row>
    <row r="142" spans="1:12" x14ac:dyDescent="0.15">
      <c r="A142" t="s">
        <v>0</v>
      </c>
      <c r="B142" t="s">
        <v>1</v>
      </c>
      <c r="C142" t="s">
        <v>2</v>
      </c>
      <c r="D142" s="2">
        <v>175.26</v>
      </c>
      <c r="E142" s="2">
        <v>118.38760857000001</v>
      </c>
      <c r="F142">
        <v>32</v>
      </c>
      <c r="G142">
        <v>61.133887000000001</v>
      </c>
      <c r="H142">
        <v>58.974373999999997</v>
      </c>
      <c r="I142">
        <v>8</v>
      </c>
      <c r="J142">
        <v>16</v>
      </c>
      <c r="K142">
        <v>17</v>
      </c>
      <c r="L142">
        <v>13.666667</v>
      </c>
    </row>
    <row r="143" spans="1:12" x14ac:dyDescent="0.15">
      <c r="A143" t="s">
        <v>0</v>
      </c>
      <c r="B143" t="s">
        <v>4</v>
      </c>
      <c r="C143" t="s">
        <v>2</v>
      </c>
      <c r="D143" s="2">
        <v>167.64000000000001</v>
      </c>
      <c r="E143" s="2">
        <v>69.853224980000007</v>
      </c>
      <c r="F143">
        <v>78</v>
      </c>
      <c r="G143">
        <v>38.471423999999999</v>
      </c>
      <c r="H143">
        <v>50.775719000000002</v>
      </c>
      <c r="I143">
        <v>5</v>
      </c>
      <c r="J143">
        <v>16</v>
      </c>
      <c r="K143">
        <v>12</v>
      </c>
      <c r="L143">
        <v>11</v>
      </c>
    </row>
    <row r="144" spans="1:12" x14ac:dyDescent="0.15">
      <c r="A144" t="s">
        <v>6</v>
      </c>
      <c r="B144" t="s">
        <v>7</v>
      </c>
      <c r="C144" t="s">
        <v>2</v>
      </c>
      <c r="D144" s="2">
        <v>170.18</v>
      </c>
      <c r="E144" s="2">
        <v>89.811289260000009</v>
      </c>
      <c r="F144">
        <v>32</v>
      </c>
      <c r="G144">
        <v>38.985394999999997</v>
      </c>
      <c r="H144">
        <v>65.184669</v>
      </c>
      <c r="I144">
        <v>8</v>
      </c>
      <c r="J144">
        <v>21</v>
      </c>
      <c r="K144">
        <v>14</v>
      </c>
      <c r="L144">
        <v>14.333333</v>
      </c>
    </row>
    <row r="145" spans="1:12" x14ac:dyDescent="0.15">
      <c r="A145" t="s">
        <v>0</v>
      </c>
      <c r="B145" t="s">
        <v>4</v>
      </c>
      <c r="C145" t="s">
        <v>11</v>
      </c>
      <c r="D145" s="2">
        <v>177.8</v>
      </c>
      <c r="E145" s="2">
        <v>65.317301280000009</v>
      </c>
      <c r="F145">
        <v>35</v>
      </c>
      <c r="G145">
        <v>62.206387999999997</v>
      </c>
      <c r="H145">
        <v>75.947862000000001</v>
      </c>
      <c r="I145">
        <v>5</v>
      </c>
      <c r="J145">
        <v>21</v>
      </c>
      <c r="K145">
        <v>17</v>
      </c>
      <c r="L145">
        <v>14.333333</v>
      </c>
    </row>
    <row r="146" spans="1:12" x14ac:dyDescent="0.15">
      <c r="A146" t="s">
        <v>0</v>
      </c>
      <c r="B146" t="s">
        <v>1</v>
      </c>
      <c r="C146" t="s">
        <v>2</v>
      </c>
      <c r="D146" s="2">
        <v>165.1</v>
      </c>
      <c r="E146" s="2">
        <v>83.914588450000011</v>
      </c>
      <c r="F146">
        <v>50</v>
      </c>
      <c r="G146">
        <v>47.899839</v>
      </c>
      <c r="H146">
        <v>71.652545000000003</v>
      </c>
      <c r="I146">
        <v>13</v>
      </c>
      <c r="J146">
        <v>16</v>
      </c>
      <c r="K146">
        <v>16</v>
      </c>
      <c r="L146">
        <v>15</v>
      </c>
    </row>
    <row r="147" spans="1:12" x14ac:dyDescent="0.15">
      <c r="A147" t="s">
        <v>0</v>
      </c>
      <c r="B147" t="s">
        <v>1</v>
      </c>
      <c r="C147" t="s">
        <v>2</v>
      </c>
      <c r="D147" s="2">
        <v>177.8</v>
      </c>
      <c r="E147" s="2">
        <v>74.842741050000001</v>
      </c>
      <c r="F147">
        <v>58</v>
      </c>
      <c r="G147">
        <v>66.049015999999995</v>
      </c>
      <c r="H147">
        <v>47.882886999999997</v>
      </c>
      <c r="I147">
        <v>12</v>
      </c>
      <c r="J147">
        <v>24</v>
      </c>
      <c r="K147">
        <v>17</v>
      </c>
      <c r="L147">
        <v>17.666667</v>
      </c>
    </row>
    <row r="148" spans="1:12" x14ac:dyDescent="0.15">
      <c r="A148" t="s">
        <v>0</v>
      </c>
      <c r="B148" t="s">
        <v>7</v>
      </c>
      <c r="C148" t="s">
        <v>2</v>
      </c>
      <c r="D148" s="2">
        <v>160.02000000000001</v>
      </c>
      <c r="E148" s="2">
        <v>96.161582440000004</v>
      </c>
      <c r="F148">
        <v>33</v>
      </c>
      <c r="G148">
        <v>19.554777000000001</v>
      </c>
      <c r="H148">
        <v>44.570954</v>
      </c>
      <c r="I148">
        <v>11</v>
      </c>
      <c r="J148">
        <v>20</v>
      </c>
      <c r="K148">
        <v>14</v>
      </c>
      <c r="L148">
        <v>15</v>
      </c>
    </row>
    <row r="149" spans="1:12" x14ac:dyDescent="0.15">
      <c r="A149" t="s">
        <v>6</v>
      </c>
      <c r="B149" t="s">
        <v>7</v>
      </c>
      <c r="C149" t="s">
        <v>2</v>
      </c>
      <c r="D149" s="2">
        <v>182.88</v>
      </c>
      <c r="E149" s="2">
        <v>84.821773190000002</v>
      </c>
      <c r="F149">
        <v>61</v>
      </c>
      <c r="G149">
        <v>44.243456000000002</v>
      </c>
      <c r="H149">
        <v>59.642626999999997</v>
      </c>
      <c r="I149">
        <v>8</v>
      </c>
      <c r="J149">
        <v>21</v>
      </c>
      <c r="K149">
        <v>15</v>
      </c>
      <c r="L149">
        <v>14.666667</v>
      </c>
    </row>
    <row r="150" spans="1:12" x14ac:dyDescent="0.15">
      <c r="A150" t="s">
        <v>6</v>
      </c>
      <c r="B150" t="s">
        <v>7</v>
      </c>
      <c r="C150" t="s">
        <v>26</v>
      </c>
      <c r="D150" s="2">
        <v>185.42000000000002</v>
      </c>
      <c r="E150" s="2">
        <v>73.028371570000004</v>
      </c>
      <c r="F150">
        <v>45</v>
      </c>
      <c r="G150">
        <v>58.538367999999998</v>
      </c>
      <c r="H150">
        <v>69.994714000000002</v>
      </c>
      <c r="I150">
        <v>11</v>
      </c>
      <c r="J150">
        <v>17</v>
      </c>
      <c r="K150">
        <v>19</v>
      </c>
      <c r="L150">
        <v>15.666667</v>
      </c>
    </row>
    <row r="151" spans="1:12" x14ac:dyDescent="0.15">
      <c r="A151" t="s">
        <v>0</v>
      </c>
      <c r="B151" t="s">
        <v>7</v>
      </c>
      <c r="C151" t="s">
        <v>11</v>
      </c>
      <c r="D151" s="2">
        <v>175.26</v>
      </c>
      <c r="E151" s="2">
        <v>60.327785210000002</v>
      </c>
      <c r="F151">
        <v>66</v>
      </c>
      <c r="G151">
        <v>64.236069999999998</v>
      </c>
      <c r="H151">
        <v>74.886369999999999</v>
      </c>
      <c r="I151">
        <v>8</v>
      </c>
      <c r="J151">
        <v>15</v>
      </c>
      <c r="K151">
        <v>17</v>
      </c>
      <c r="L151">
        <v>13.333333</v>
      </c>
    </row>
    <row r="152" spans="1:12" x14ac:dyDescent="0.15">
      <c r="A152" t="s">
        <v>0</v>
      </c>
      <c r="B152" t="s">
        <v>1</v>
      </c>
      <c r="C152" t="s">
        <v>32</v>
      </c>
      <c r="D152" s="2">
        <v>187.96</v>
      </c>
      <c r="E152" s="2">
        <v>91.625658740000006</v>
      </c>
      <c r="F152">
        <v>29</v>
      </c>
      <c r="G152">
        <v>60.057274999999997</v>
      </c>
      <c r="H152">
        <v>44.466743999999998</v>
      </c>
      <c r="I152">
        <v>8</v>
      </c>
      <c r="J152">
        <v>21</v>
      </c>
      <c r="K152">
        <v>17</v>
      </c>
      <c r="L152">
        <v>15.333333</v>
      </c>
    </row>
    <row r="153" spans="1:12" x14ac:dyDescent="0.15">
      <c r="A153" t="s">
        <v>0</v>
      </c>
      <c r="B153" t="s">
        <v>1</v>
      </c>
      <c r="C153" t="s">
        <v>2</v>
      </c>
      <c r="D153" s="2">
        <v>167.64000000000001</v>
      </c>
      <c r="E153" s="2">
        <v>81.193034230000009</v>
      </c>
      <c r="F153">
        <v>39</v>
      </c>
      <c r="G153">
        <v>42.567030000000003</v>
      </c>
      <c r="H153">
        <v>50.304372999999998</v>
      </c>
      <c r="I153">
        <v>13</v>
      </c>
      <c r="J153">
        <v>17</v>
      </c>
      <c r="K153">
        <v>11</v>
      </c>
      <c r="L153">
        <v>13.666667</v>
      </c>
    </row>
    <row r="154" spans="1:12" x14ac:dyDescent="0.15">
      <c r="A154" t="s">
        <v>6</v>
      </c>
      <c r="B154" t="s">
        <v>1</v>
      </c>
      <c r="C154" t="s">
        <v>2</v>
      </c>
      <c r="D154" s="2">
        <v>177.8</v>
      </c>
      <c r="E154" s="2">
        <v>81.646626600000005</v>
      </c>
      <c r="F154">
        <v>45</v>
      </c>
      <c r="G154">
        <v>60.386046</v>
      </c>
      <c r="H154">
        <v>54.906331999999999</v>
      </c>
      <c r="I154">
        <v>8</v>
      </c>
      <c r="J154">
        <v>18</v>
      </c>
      <c r="K154">
        <v>10</v>
      </c>
      <c r="L154">
        <v>12</v>
      </c>
    </row>
    <row r="155" spans="1:12" x14ac:dyDescent="0.15">
      <c r="A155" t="s">
        <v>6</v>
      </c>
      <c r="B155" t="s">
        <v>4</v>
      </c>
      <c r="C155" t="s">
        <v>2</v>
      </c>
      <c r="D155" s="2">
        <v>180.34</v>
      </c>
      <c r="E155" s="2">
        <v>78.925072380000003</v>
      </c>
      <c r="F155">
        <v>43</v>
      </c>
      <c r="G155">
        <v>44.160603999999999</v>
      </c>
      <c r="H155">
        <v>75.876992999999999</v>
      </c>
      <c r="I155">
        <v>9</v>
      </c>
      <c r="J155">
        <v>22</v>
      </c>
      <c r="K155">
        <v>11</v>
      </c>
      <c r="L155">
        <v>14</v>
      </c>
    </row>
    <row r="156" spans="1:12" x14ac:dyDescent="0.15">
      <c r="A156" t="s">
        <v>0</v>
      </c>
      <c r="B156" t="s">
        <v>1</v>
      </c>
      <c r="C156" t="s">
        <v>32</v>
      </c>
      <c r="D156" s="2">
        <v>175.26</v>
      </c>
      <c r="E156" s="2">
        <v>96.615174809999999</v>
      </c>
      <c r="F156">
        <v>39</v>
      </c>
      <c r="G156">
        <v>44.379573999999998</v>
      </c>
      <c r="H156">
        <v>44.684539000000001</v>
      </c>
      <c r="I156">
        <v>8</v>
      </c>
      <c r="J156">
        <v>24</v>
      </c>
      <c r="K156">
        <v>12</v>
      </c>
      <c r="L156">
        <v>14.666667</v>
      </c>
    </row>
    <row r="157" spans="1:12" x14ac:dyDescent="0.15">
      <c r="A157" t="s">
        <v>0</v>
      </c>
      <c r="B157" t="s">
        <v>1</v>
      </c>
      <c r="C157" t="s">
        <v>2</v>
      </c>
      <c r="D157" s="2">
        <v>165.1</v>
      </c>
      <c r="E157" s="2">
        <v>79.378664749999999</v>
      </c>
      <c r="F157">
        <v>57</v>
      </c>
      <c r="G157">
        <v>34.923717000000003</v>
      </c>
      <c r="H157">
        <v>59.384247000000002</v>
      </c>
      <c r="I157">
        <v>6</v>
      </c>
      <c r="J157">
        <v>16</v>
      </c>
      <c r="K157">
        <v>19</v>
      </c>
      <c r="L157">
        <v>13.666667</v>
      </c>
    </row>
    <row r="158" spans="1:12" x14ac:dyDescent="0.15">
      <c r="A158" t="s">
        <v>0</v>
      </c>
      <c r="B158" t="s">
        <v>4</v>
      </c>
      <c r="C158" t="s">
        <v>11</v>
      </c>
      <c r="D158" s="2">
        <v>154.94</v>
      </c>
      <c r="E158" s="2">
        <v>97.522359550000004</v>
      </c>
      <c r="F158">
        <v>20</v>
      </c>
      <c r="G158">
        <v>45.083300999999999</v>
      </c>
      <c r="H158">
        <v>54.658848999999996</v>
      </c>
      <c r="I158">
        <v>14</v>
      </c>
      <c r="J158">
        <v>17</v>
      </c>
      <c r="K158">
        <v>10</v>
      </c>
      <c r="L158">
        <v>13.666667</v>
      </c>
    </row>
    <row r="159" spans="1:12" x14ac:dyDescent="0.15">
      <c r="A159" t="s">
        <v>6</v>
      </c>
      <c r="B159" t="s">
        <v>7</v>
      </c>
      <c r="C159" t="s">
        <v>11</v>
      </c>
      <c r="D159" s="2">
        <v>157.47999999999999</v>
      </c>
      <c r="E159" s="2">
        <v>86.182550300000003</v>
      </c>
      <c r="F159">
        <v>36</v>
      </c>
      <c r="G159">
        <v>36.367286</v>
      </c>
      <c r="H159">
        <v>65.344306000000003</v>
      </c>
      <c r="I159">
        <v>11</v>
      </c>
      <c r="J159">
        <v>16</v>
      </c>
      <c r="K159">
        <v>16</v>
      </c>
      <c r="L159">
        <v>14.333333</v>
      </c>
    </row>
    <row r="160" spans="1:12" x14ac:dyDescent="0.15">
      <c r="A160" t="s">
        <v>6</v>
      </c>
      <c r="B160" t="s">
        <v>7</v>
      </c>
      <c r="C160" t="s">
        <v>26</v>
      </c>
      <c r="D160" s="2">
        <v>170.18</v>
      </c>
      <c r="E160" s="2">
        <v>87.543327410000003</v>
      </c>
      <c r="F160">
        <v>32</v>
      </c>
      <c r="G160">
        <v>45.362135000000002</v>
      </c>
      <c r="H160">
        <v>49.541854000000001</v>
      </c>
      <c r="I160">
        <v>6</v>
      </c>
      <c r="J160">
        <v>19</v>
      </c>
      <c r="K160">
        <v>12</v>
      </c>
      <c r="L160">
        <v>12.333333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F7283806B33C643AC3CEC48D78A5CAC" ma:contentTypeVersion="11" ma:contentTypeDescription="Utwórz nowy dokument." ma:contentTypeScope="" ma:versionID="51d1a6c401287bfd2b3f69a3df638439">
  <xsd:schema xmlns:xsd="http://www.w3.org/2001/XMLSchema" xmlns:xs="http://www.w3.org/2001/XMLSchema" xmlns:p="http://schemas.microsoft.com/office/2006/metadata/properties" xmlns:ns2="487afbb6-68ce-49fd-8f25-805ead3e57d7" targetNamespace="http://schemas.microsoft.com/office/2006/metadata/properties" ma:root="true" ma:fieldsID="e101f7df84e16c88d911fb575e1d26c0" ns2:_="">
    <xsd:import namespace="487afbb6-68ce-49fd-8f25-805ead3e57d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afbb6-68ce-49fd-8f25-805ead3e57d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87afbb6-68ce-49fd-8f25-805ead3e57d7" xsi:nil="true"/>
  </documentManagement>
</p:properties>
</file>

<file path=customXml/itemProps1.xml><?xml version="1.0" encoding="utf-8"?>
<ds:datastoreItem xmlns:ds="http://schemas.openxmlformats.org/officeDocument/2006/customXml" ds:itemID="{492EE294-1527-4059-8273-9E2244A19A17}"/>
</file>

<file path=customXml/itemProps2.xml><?xml version="1.0" encoding="utf-8"?>
<ds:datastoreItem xmlns:ds="http://schemas.openxmlformats.org/officeDocument/2006/customXml" ds:itemID="{6F5E7948-5D38-43DC-86CF-FD9863CAF2DC}"/>
</file>

<file path=customXml/itemProps3.xml><?xml version="1.0" encoding="utf-8"?>
<ds:datastoreItem xmlns:ds="http://schemas.openxmlformats.org/officeDocument/2006/customXml" ds:itemID="{43D6A00A-B4DC-4E02-B068-6F69235FA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Arkusz2</vt:lpstr>
      <vt:lpstr>Arkusz3</vt:lpstr>
      <vt:lpstr>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Microsoft Office User</cp:lastModifiedBy>
  <dcterms:created xsi:type="dcterms:W3CDTF">2016-04-21T13:05:47Z</dcterms:created>
  <dcterms:modified xsi:type="dcterms:W3CDTF">2022-02-07T19:54:04Z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0x0101004F7283806B33C643AC3CEC48D78A5CAC</vt:lpwstr>
  </property>
</Properties>
</file>